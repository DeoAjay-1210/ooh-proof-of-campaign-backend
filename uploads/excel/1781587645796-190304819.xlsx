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Chennai" sheetId="1" r:id="rId1"/>
  </sheets>
  <definedNames>
    <definedName name="_xlnm._FilterDatabase" localSheetId="0" hidden="1">Chennai!$A$1:$S$192</definedName>
    <definedName name="Z_03FEB910_F084_43C1_B597_0EE7CB908EC0_.wvu.FilterData" localSheetId="0" hidden="1">Chennai!$C$1:$S$192</definedName>
    <definedName name="Z_095CF3F3_7FE6_462C_B177_DC7C2011FF5D_.wvu.FilterData" localSheetId="0" hidden="1">Chennai!$C$1:$S$192</definedName>
    <definedName name="Z_0AA96870_C42C_40E0_A115_B039BE6FD625_.wvu.FilterData" localSheetId="0" hidden="1">Chennai!$A$1:$S$1128</definedName>
    <definedName name="Z_10B56150_0ABB_484C_A41D_1D836CE3EC70_.wvu.FilterData" localSheetId="0" hidden="1">Chennai!$C$1:$S$193</definedName>
    <definedName name="Z_14122A78_A086_41A4_A513_E5D6F3EDC8AC_.wvu.FilterData" localSheetId="0" hidden="1">Chennai!$A$1:$S$1128</definedName>
    <definedName name="Z_1A71F4AE_4FB0_406C_8E9E_DA196109A967_.wvu.FilterData" localSheetId="0" hidden="1">Chennai!$C$1:$S$193</definedName>
    <definedName name="Z_1B5A42AA_95FB_4D8A_8324_4D5FCE1993B8_.wvu.FilterData" localSheetId="0" hidden="1">Chennai!$A$1:$S$1128</definedName>
    <definedName name="Z_22977C75_1EE1_4728_AB2A_31386D63ED9A_.wvu.FilterData" localSheetId="0" hidden="1">Chennai!$A$1:$S$1128</definedName>
    <definedName name="Z_24816A3C_A35E_4715_A90E_CF84A7F05B8C_.wvu.FilterData" localSheetId="0" hidden="1">Chennai!$C$1:$S$192</definedName>
    <definedName name="Z_33BD6C01_3865_4BA9_A0BF_FCFCBDAC264F_.wvu.FilterData" localSheetId="0" hidden="1">Chennai!$C$1:$S$192</definedName>
    <definedName name="Z_360D6983_BD44_4042_A9FC_D5E7DF1A0589_.wvu.FilterData" localSheetId="0" hidden="1">Chennai!$A$1:$S$1128</definedName>
    <definedName name="Z_499CA3E6_BCDB_47EF_9556_651E3D317804_.wvu.FilterData" localSheetId="0" hidden="1">Chennai!$C$1:$S$192</definedName>
    <definedName name="Z_4BD31A2F_9850_4525_A19B_E59D0E36C79C_.wvu.FilterData" localSheetId="0" hidden="1">Chennai!$C$1:$S$192</definedName>
    <definedName name="Z_51288441_D2E0_4DF9_A929_A658535D9E4B_.wvu.FilterData" localSheetId="0" hidden="1">Chennai!$C$1:$S$192</definedName>
    <definedName name="Z_5F68098D_BE1D_4010_B0F6_3D2800FD1FA7_.wvu.FilterData" localSheetId="0" hidden="1">Chennai!$C$1:$S$193</definedName>
    <definedName name="Z_60DFC8DA_628A_4833_ACBE_CAAC2C7EDE17_.wvu.FilterData" localSheetId="0" hidden="1">Chennai!$A$1:$S$1128</definedName>
    <definedName name="Z_655573C2_057B_4CF3_813B_1F0C6D3656A3_.wvu.FilterData" localSheetId="0" hidden="1">Chennai!$C$1:$S$192</definedName>
    <definedName name="Z_669366DC_C8DE_41D8_9CD3_719DBC50F0C8_.wvu.FilterData" localSheetId="0" hidden="1">Chennai!$A$1:$S$1128</definedName>
    <definedName name="Z_6E68D820_47F4_42F4_849F_2539B2C9986C_.wvu.FilterData" localSheetId="0" hidden="1">Chennai!$C$1:$S$192</definedName>
    <definedName name="Z_6EEE3773_52FD_41EF_8CEF_202DFC10C1A8_.wvu.FilterData" localSheetId="0" hidden="1">Chennai!$C$1:$S$192</definedName>
    <definedName name="Z_729E3580_51FB_46C5_A16A_CA1DFF06346F_.wvu.FilterData" localSheetId="0" hidden="1">Chennai!$A$1:$S$192</definedName>
    <definedName name="Z_79942D42_9D1B_4DD5_AFE6_947014C8B5E3_.wvu.FilterData" localSheetId="0" hidden="1">Chennai!$A$1:$S$1128</definedName>
    <definedName name="Z_7EFBC580_6313_4ADA_A313_571AC159433E_.wvu.FilterData" localSheetId="0" hidden="1">Chennai!$A$1:$S$1128</definedName>
    <definedName name="Z_895E7AEA_FF07_4B36_B9E0_0FE71D3343AD_.wvu.FilterData" localSheetId="0" hidden="1">Chennai!$A$1:$S$1128</definedName>
    <definedName name="Z_8A23A1F9_6526_4958_9DD8_E037FE9EAAE1_.wvu.FilterData" localSheetId="0" hidden="1">Chennai!$C$1:$S$192</definedName>
    <definedName name="Z_9B1AA951_E9A7_4FF6_96B5_E177E0102B96_.wvu.FilterData" localSheetId="0" hidden="1">Chennai!$C$1:$S$193</definedName>
    <definedName name="Z_9BFC2C61_389A_4169_BE2F_1F8E9252E6C8_.wvu.FilterData" localSheetId="0" hidden="1">Chennai!$A$1:$S$1128</definedName>
    <definedName name="Z_9E420E1D_55AE_41D0_B95D_FB53AF566B5F_.wvu.FilterData" localSheetId="0" hidden="1">Chennai!$C$1:$S$192</definedName>
    <definedName name="Z_A1A29225_1C2B_44A7_AD3D_BF9E353E9ECB_.wvu.FilterData" localSheetId="0" hidden="1">Chennai!$A$1:$S$1128</definedName>
    <definedName name="Z_A4E9D27B_C185_443D_9820_A56C117ABEB1_.wvu.FilterData" localSheetId="0" hidden="1">Chennai!$C$1:$S$193</definedName>
    <definedName name="Z_B4EBFFD0_31CE_4420_A71D_50EBF8496F97_.wvu.FilterData" localSheetId="0" hidden="1">Chennai!$C$1:$S$193</definedName>
    <definedName name="Z_B7DAFD4C_9D8A_4301_987F_04582F133F7F_.wvu.FilterData" localSheetId="0" hidden="1">Chennai!$C$1:$S$192</definedName>
    <definedName name="Z_C0AA0351_E2D0_489F_A690_D7FEE7F5457E_.wvu.FilterData" localSheetId="0" hidden="1">Chennai!$C$1:$S$192</definedName>
    <definedName name="Z_CC1460F0_23A5_41E4_81BB_3BD641A06887_.wvu.FilterData" localSheetId="0" hidden="1">Chennai!$A$1:$S$1128</definedName>
    <definedName name="Z_D19CCE49_67B5_413E_AC5D_000887101011_.wvu.FilterData" localSheetId="0" hidden="1">Chennai!$C$1:$S$193</definedName>
    <definedName name="Z_DA022FF3_F089_48AC_B13C_CD24B72F8122_.wvu.FilterData" localSheetId="0" hidden="1">Chennai!$A$1:$S$1128</definedName>
    <definedName name="Z_DDC8B55D_0A67_45DC_9F8B_492010E91D09_.wvu.FilterData" localSheetId="0" hidden="1">Chennai!$A$1:$S$1128</definedName>
    <definedName name="Z_E0095F41_E4CD_412F_BFAD_17C564914076_.wvu.FilterData" localSheetId="0" hidden="1">Chennai!$A$1:$S$1128</definedName>
    <definedName name="Z_E5BBC043_4ED2_4675_99CF_A0CF6C5EA175_.wvu.FilterData" localSheetId="0" hidden="1">Chennai!$A$1:$S$1128</definedName>
    <definedName name="Z_E952DEE1_0103_49DF_8705_9B07A2744E3A_.wvu.FilterData" localSheetId="0" hidden="1">Chennai!$A$1:$S$1128</definedName>
    <definedName name="Z_EE4A7C41_58ED_4025_8230_0FDF6B44C8D1_.wvu.FilterData" localSheetId="0" hidden="1">Chennai!$C$1:$S$192</definedName>
    <definedName name="Z_F205AB0A_784E_4AD6_AFDA_D0371CF9E1BF_.wvu.FilterData" localSheetId="0" hidden="1">Chennai!$C$1:$S$193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<sst xmlns="http://schemas.openxmlformats.org/spreadsheetml/2006/main" count="1246" uniqueCount="285">
  <si>
    <t xml:space="preserve"> S. No</t>
  </si>
  <si>
    <t>S.No</t>
  </si>
  <si>
    <t>City</t>
  </si>
  <si>
    <t>Media</t>
  </si>
  <si>
    <t>Area Name</t>
  </si>
  <si>
    <t>Location</t>
  </si>
  <si>
    <t>Qty</t>
  </si>
  <si>
    <t>W</t>
  </si>
  <si>
    <t>H</t>
  </si>
  <si>
    <t>Fl / Bl Nl</t>
  </si>
  <si>
    <t>Area</t>
  </si>
  <si>
    <t>Display cost per Month</t>
  </si>
  <si>
    <t>Printing Cost</t>
  </si>
  <si>
    <t>Mounting Cost</t>
  </si>
  <si>
    <t>Total Cost</t>
  </si>
  <si>
    <t>Lattitude</t>
  </si>
  <si>
    <t>Longitude</t>
  </si>
  <si>
    <t>Power Supply</t>
  </si>
  <si>
    <t>Innovations</t>
  </si>
  <si>
    <t>Chennai</t>
  </si>
  <si>
    <t>Hoarding</t>
  </si>
  <si>
    <t>Gemini Flyover</t>
  </si>
  <si>
    <t>Gemini flyover The Park signal twds Cathedral rd/Merina Beach</t>
  </si>
  <si>
    <t>Frontlit</t>
  </si>
  <si>
    <t xml:space="preserve">EB </t>
  </si>
  <si>
    <t>Yes</t>
  </si>
  <si>
    <t>Gemini flyover, The Park Signal twds Taj Coromandel Nungambakkam</t>
  </si>
  <si>
    <t>Unipole</t>
  </si>
  <si>
    <t>Gemini flyover towards Thousand Light</t>
  </si>
  <si>
    <t>Gemini flyover towards Nandhanam - 1</t>
  </si>
  <si>
    <t>Gemini flyover towards Nandhanam - 2</t>
  </si>
  <si>
    <t>Gemini flyover towards Nungambakkam</t>
  </si>
  <si>
    <t>Wall Hoarding</t>
  </si>
  <si>
    <t>Cathedral road towards nungambakam - 1</t>
  </si>
  <si>
    <t>Cathedral road towards nungambakam - 2</t>
  </si>
  <si>
    <t xml:space="preserve">Gemini flyover towards DMS/Teynampet </t>
  </si>
  <si>
    <t>Parrys Flower Bazzar Market Junction</t>
  </si>
  <si>
    <t>Parrys</t>
  </si>
  <si>
    <t>Nonlit</t>
  </si>
  <si>
    <t>Saidapet</t>
  </si>
  <si>
    <t>Saidapet AGS Tower towards Chinamalai &amp; Guindy</t>
  </si>
  <si>
    <t xml:space="preserve">Saidapet towards Guindy/Adyar </t>
  </si>
  <si>
    <t xml:space="preserve">Saidapet towards T.nagar/Tenampet </t>
  </si>
  <si>
    <t>Little Mount</t>
  </si>
  <si>
    <t>Little Mount (Chinnamalai) Towards sardar patel rd, adyar</t>
  </si>
  <si>
    <t>Kathipara Flyover</t>
  </si>
  <si>
    <t>MKN Bridge Towards Kathipara Flyover</t>
  </si>
  <si>
    <t>Pallavan Salai</t>
  </si>
  <si>
    <t>Pallavan road flyover towards central station 1</t>
  </si>
  <si>
    <t>Solar</t>
  </si>
  <si>
    <t>Pallavan road flyover towards central station 2</t>
  </si>
  <si>
    <t>Mount Road</t>
  </si>
  <si>
    <t>Mount Road Near Devi Paradise</t>
  </si>
  <si>
    <t>Thousand Light To Gemini Flyover(Metro)</t>
  </si>
  <si>
    <t>Mount Road Anand &amp; Sathyam theater signal To Geminflyover</t>
  </si>
  <si>
    <t>EB</t>
  </si>
  <si>
    <t>Wall Graphics</t>
  </si>
  <si>
    <t>Gemini fly over towards thousand lights</t>
  </si>
  <si>
    <t>Tenyampet</t>
  </si>
  <si>
    <t>DMS Teynampet to Gemini</t>
  </si>
  <si>
    <t>DMS Gemini to Teynampet</t>
  </si>
  <si>
    <t>Anna Salai</t>
  </si>
  <si>
    <t>Anna Salai Omandurar Hospital Junction(Walaja road towards mount road)</t>
  </si>
  <si>
    <t>Cathedral Road</t>
  </si>
  <si>
    <t>Cathedral Road Gopalapuram To Geminiflyover</t>
  </si>
  <si>
    <t>Cathedral Road towards Marina Beach</t>
  </si>
  <si>
    <t>T Nagar</t>
  </si>
  <si>
    <t>T.Nagar North Usman Road Near Croma</t>
  </si>
  <si>
    <t>Nr.Diadem T Nagar from Bharathai Raja Hospital to Panagal Park</t>
  </si>
  <si>
    <t>Aranganathan Subway Road Towards T-Nagar - 1</t>
  </si>
  <si>
    <t>Aranganathan Subway Road Towards T-Nagar - 2</t>
  </si>
  <si>
    <t>T Nagar G N Chetty Road-Geminiflyover</t>
  </si>
  <si>
    <t>T.Nagar Usman Road Bridge towards Kodambakkam - 1</t>
  </si>
  <si>
    <t>T.Nagar Usman Road Bridge towards Kodambakkam - 2</t>
  </si>
  <si>
    <t>Woods Road</t>
  </si>
  <si>
    <t>Woods Road Nr. Express Avenue</t>
  </si>
  <si>
    <t>Express Mall opp</t>
  </si>
  <si>
    <t>Express Mall opp towards Woodlands theater</t>
  </si>
  <si>
    <t>Anna nagar roundana</t>
  </si>
  <si>
    <t>Anna Nagar</t>
  </si>
  <si>
    <t>Anna Nagar Roundana Signal Junction - 1</t>
  </si>
  <si>
    <t>Anna Nagar Roundana Signal Junction - 2</t>
  </si>
  <si>
    <t>Anna Arch</t>
  </si>
  <si>
    <t>Anna Arch frm Skywalk to Anna Nagar/Arumpakkam</t>
  </si>
  <si>
    <t>Anna Arch Anna nagar Towards koyambedu</t>
  </si>
  <si>
    <t>Arumbakkam</t>
  </si>
  <si>
    <t>Arumbakkam towards koyembedu bridge - 1</t>
  </si>
  <si>
    <t>Arumbakkam towards koyembedu bridge - 2</t>
  </si>
  <si>
    <t>Koyembedu towards arumabkkam dg vaishnava college</t>
  </si>
  <si>
    <t>Koyambedu</t>
  </si>
  <si>
    <t>CMBT Bus stand Towards Anna nagar</t>
  </si>
  <si>
    <t>CMBT Bus stand Towards Vadapalani</t>
  </si>
  <si>
    <t>Koyambedu Metro towards Maduravoyal</t>
  </si>
  <si>
    <t>Chetpet</t>
  </si>
  <si>
    <t>Chetpet signal towards ega theatre</t>
  </si>
  <si>
    <t>Chetpet signal towards Nungambakkam</t>
  </si>
  <si>
    <t>Poonamallee</t>
  </si>
  <si>
    <t>Poonamalle towards avadi seenerkumpam</t>
  </si>
  <si>
    <t xml:space="preserve">Aminjikarai </t>
  </si>
  <si>
    <t>Aminjikarai market towards central</t>
  </si>
  <si>
    <t>PH Road Vanagaram</t>
  </si>
  <si>
    <t>Vanagaram Signal towards Koyembedu</t>
  </si>
  <si>
    <t>Vanagaram Signal towards Ponnamallee</t>
  </si>
  <si>
    <t>Kilpauk</t>
  </si>
  <si>
    <t>Pachaiyappa's College towards Ega Theatre</t>
  </si>
  <si>
    <t>Pachaiyappa's College towards Aminjikarai</t>
  </si>
  <si>
    <t>Thirumazhisai</t>
  </si>
  <si>
    <t>Thirumazhisai Towards Poonthamalle</t>
  </si>
  <si>
    <t>Thirumazhisai opp to SIDCO Estate Towards Poonamallee &amp; Koyembedu</t>
  </si>
  <si>
    <t>Thirumazhisai opp to SIDCO Estate Towards Sriperambadhur</t>
  </si>
  <si>
    <t>Thirumazhisai KFC Towards Thiruvallur</t>
  </si>
  <si>
    <t>Thirumazhisai KFC Towards Poonamallee</t>
  </si>
  <si>
    <t>Nelson Manickam Road</t>
  </si>
  <si>
    <t>Nelson Manickam road Nungmbakkam To Loyola college</t>
  </si>
  <si>
    <t>Nelson Manickam road Nungambakkam</t>
  </si>
  <si>
    <t>Nungambakkam Subway Signal To Anna Nagar/Arumpakkam</t>
  </si>
  <si>
    <t>Nungambakkam</t>
  </si>
  <si>
    <t>Nungambakkam High Rd - Kodambakkam High Rd Junction</t>
  </si>
  <si>
    <t>Nungambakkam Jhaver Plaza To Valluvar kottam</t>
  </si>
  <si>
    <t>Kodambakkam</t>
  </si>
  <si>
    <t>Kodambakkam Bridge To Valluvarkottam - 1</t>
  </si>
  <si>
    <t>Kodambakkam Bridge To Valluvarkottam - 2</t>
  </si>
  <si>
    <t>Power House</t>
  </si>
  <si>
    <t>Power House towards Kodambakkam</t>
  </si>
  <si>
    <t>Arcot Road</t>
  </si>
  <si>
    <t>Arcot Road Virugambakkam Towards Vadapalani</t>
  </si>
  <si>
    <t>Arcot Road Virugambakkam opp fame national theater towards porur</t>
  </si>
  <si>
    <t>KK Nagar</t>
  </si>
  <si>
    <t>K.k.nagar towards virugambakkam arcot road</t>
  </si>
  <si>
    <t>Virugambakkam towards k.k.nagar Busstand</t>
  </si>
  <si>
    <t>Ashok Nagar</t>
  </si>
  <si>
    <t>Ashoknagar kfc towards Guindy</t>
  </si>
  <si>
    <t>Porur</t>
  </si>
  <si>
    <t>Porur EB Office towards Porur Signal</t>
  </si>
  <si>
    <t>Porur Junction Bridge Towards DLF &amp; Nandhambakkam</t>
  </si>
  <si>
    <t>Moulivakkam</t>
  </si>
  <si>
    <t>Porur towards Moulivakkam</t>
  </si>
  <si>
    <t>Moulivakkam towards Porur</t>
  </si>
  <si>
    <t>Chamiers Road</t>
  </si>
  <si>
    <t>Chamiers Road To Adayar Park Hotel</t>
  </si>
  <si>
    <t>OMR</t>
  </si>
  <si>
    <t>OMR Road Near Holiday Inn twds Sholinganallur</t>
  </si>
  <si>
    <t>OMR Sholinganallur towards Navallur</t>
  </si>
  <si>
    <t>OMR Road</t>
  </si>
  <si>
    <t>OMR Padur Nr. Hindustan College twds Solinganallur</t>
  </si>
  <si>
    <t>OMR Padur Nr.Hindustan College twds Kelambakkam</t>
  </si>
  <si>
    <t>OMR Thaiyur towards Thiruporur</t>
  </si>
  <si>
    <t>OMR Thaiyur towards Kelambakkam</t>
  </si>
  <si>
    <t>OMR Kazhipattur</t>
  </si>
  <si>
    <t>OMR Kazhippattur Roundana Towards Siruseri &amp; Cholinganallur</t>
  </si>
  <si>
    <t>OMR Kazhippattur Roundana Towards Kelambakkam</t>
  </si>
  <si>
    <t>OMR Kelambakkam</t>
  </si>
  <si>
    <t>OMR Kelambakkam Towards Thaiyur</t>
  </si>
  <si>
    <t>OMR Kelambakkam Towards Padur &amp; Kazhippattur</t>
  </si>
  <si>
    <t>OMR Thaiyur</t>
  </si>
  <si>
    <t>OMR Thaiyur - near Kelambakkam Towards Thirupporur</t>
  </si>
  <si>
    <t>OMR Thaiyur near Kelambakkam Towards Kelambakkam</t>
  </si>
  <si>
    <t>OMR Navallur</t>
  </si>
  <si>
    <t>OMR Navallur Toll Plaza Towards Siruseri &amp; Kelambakkam</t>
  </si>
  <si>
    <t>OMR Navallur Toll Plaza Towards Cholinganallur</t>
  </si>
  <si>
    <t>Velacherry</t>
  </si>
  <si>
    <t>Velacherry A2B (From Bus Stand to Railway Station)</t>
  </si>
  <si>
    <t>Velacherry A2B (From Railway station to Bus Stand)</t>
  </si>
  <si>
    <t>Velacherry 100 Ft Road Towards Phoenix Mall</t>
  </si>
  <si>
    <t>Velachery</t>
  </si>
  <si>
    <t>Velacherry 100 ft Road towards Vijayanagar</t>
  </si>
  <si>
    <t>Velachery kamatchi hospital towards kilkatalai junction</t>
  </si>
  <si>
    <t>Velachery kamatchi hospital towards thoraipakkam</t>
  </si>
  <si>
    <t>Velachery Kaiveli Bridge from Velacherry towards pallikaranai</t>
  </si>
  <si>
    <t>Velachery Kaiveli Bridge from Narayanapuram signal  towards Velacherry</t>
  </si>
  <si>
    <t>Medavakkam</t>
  </si>
  <si>
    <t>Medavakkam (Opp Quaide Milleth College ) towards Tambaram</t>
  </si>
  <si>
    <t>Medavakkam ( Opp Quaide Milleth College ) towards velachery</t>
  </si>
  <si>
    <t>Velachery - Tambaram Main Rd, Facing Medavakkam</t>
  </si>
  <si>
    <t>Medavakkam - Kovilancheri Towards Mambakkam &amp; Agaram Then</t>
  </si>
  <si>
    <t>Medavakkam - Kovilancheri Towards Medavakkam &amp; Thazhambur</t>
  </si>
  <si>
    <t>Medawakkam - Gowriwakkam Towards East Tambaram</t>
  </si>
  <si>
    <t>Medawakkam - Gowriwakkam Towards Medavakkam</t>
  </si>
  <si>
    <t>Medavakkam Gowrivakkam towards Tambaram</t>
  </si>
  <si>
    <t>Medavakkam Main Road (near Gold Winner) Towards Medavakkam</t>
  </si>
  <si>
    <t>Medavakkam Main Road (near Gold Winner) Towards Thalambur &amp; Ponmar</t>
  </si>
  <si>
    <t>Perumbakkam</t>
  </si>
  <si>
    <t>Medavakkam - Perumbakkam towards Cholinganallur Junction</t>
  </si>
  <si>
    <t>Ponmar</t>
  </si>
  <si>
    <t>Ponmar - Thazhambur Road Towards OMR &amp; Mambakkam</t>
  </si>
  <si>
    <t>Pallikarunai</t>
  </si>
  <si>
    <t>Velachery towards pallikarunai</t>
  </si>
  <si>
    <t>Pallikarunai towards Velachery near Balaji dental college</t>
  </si>
  <si>
    <t>Radial Road</t>
  </si>
  <si>
    <t>200 Feet Radial Road Towards Thoraipakkam (L)</t>
  </si>
  <si>
    <t>200 Feet Radial Road Towards Chrompet (R)</t>
  </si>
  <si>
    <t>Radial Road -Narayana School Towards Pallavaram</t>
  </si>
  <si>
    <t>Radial Road -Narayana Schoo towards Thoraipakkam</t>
  </si>
  <si>
    <t>Adyar</t>
  </si>
  <si>
    <t>Adayar L B Road towards Thiruvanmiyur</t>
  </si>
  <si>
    <t>Thiruvanmiyur</t>
  </si>
  <si>
    <t>Thiruvanmiyur marideeswarer temple signal towards VGP ECR</t>
  </si>
  <si>
    <t>ECR Road</t>
  </si>
  <si>
    <t>ECR Road Towards Kovalam- Fishermen Cove</t>
  </si>
  <si>
    <t>ECR Opp Mayajal , towards kovalam</t>
  </si>
  <si>
    <t>ECR Opp Mayajal, towards Thiruvanmayur</t>
  </si>
  <si>
    <t>ECR Road towards Kovalam- fishermen cov</t>
  </si>
  <si>
    <t>ECR Road towards Thiruvanmayur (Opp Fisherman Cove)</t>
  </si>
  <si>
    <t>ECR Mayajal towards muttukadu (R)</t>
  </si>
  <si>
    <t>ECR Muttukadu towards Mayajal (L)</t>
  </si>
  <si>
    <t>ECR Mayajal towards Kovalam 2</t>
  </si>
  <si>
    <t>ECR Rd Mahabalipuram towards Kovalam/Muttukadu</t>
  </si>
  <si>
    <t>ECR Akkari junction towards panaiyur</t>
  </si>
  <si>
    <t>ECR Akkarai junction towards pallavakkam</t>
  </si>
  <si>
    <t>ECR Olive Island towards Muttukadu</t>
  </si>
  <si>
    <t>ECR Olive Island Towards mayajal</t>
  </si>
  <si>
    <t>ECR Toll Plaza - Uthandi Towards Chennai City</t>
  </si>
  <si>
    <t>ECR Toll Plaza - Uthandi Towards Kovalam</t>
  </si>
  <si>
    <t>Avadi</t>
  </si>
  <si>
    <t>Opp To A2B Avadi Towards New Millitary road &amp; Paruthipattu</t>
  </si>
  <si>
    <t>Opp To A2B Avadi Towards Avadi Check Post</t>
  </si>
  <si>
    <t>Avadi - Near Jaigopal Garodia School Towards Avadi Market &amp; Bus Stand</t>
  </si>
  <si>
    <t>Avadi - Near Jaigopal Garodia School Towards Paruthipattu &amp; Poonamallee</t>
  </si>
  <si>
    <t>Thirumullaivoyal</t>
  </si>
  <si>
    <t>Thirumullaivoyal twds Avadi</t>
  </si>
  <si>
    <t>Madhavaram</t>
  </si>
  <si>
    <t>Madhvaram By Pass Jun,Towards Moolakadai,Redhills &amp; Manali Bus Stop</t>
  </si>
  <si>
    <t>Sharmanagar</t>
  </si>
  <si>
    <t>Sharmanagar Market Jun Towards Moolakadai Madhavaram By pass Bus Stop</t>
  </si>
  <si>
    <t>Perambur</t>
  </si>
  <si>
    <t>Perambur Paper Mills Road, Towards,Perambur Rail way Station</t>
  </si>
  <si>
    <t>Perambur Near Periayar Nagar Towards Retteri Singal Jun</t>
  </si>
  <si>
    <t>Ambattur</t>
  </si>
  <si>
    <t>Ambattur Road, Towards Pudur Bus Stop</t>
  </si>
  <si>
    <t>Ambattur Steadford Towards Ambattur Estate</t>
  </si>
  <si>
    <t>Kovur</t>
  </si>
  <si>
    <t>Kovur Junction towords Porur</t>
  </si>
  <si>
    <t>Kovur towords Porur</t>
  </si>
  <si>
    <t>Porur towards Kovur</t>
  </si>
  <si>
    <t>Kovur Towards Gerugambakkam</t>
  </si>
  <si>
    <t>Kovur Bus Stand near EB Office Towards Kundratthur</t>
  </si>
  <si>
    <t>Kovur Bus Stand near EB Office Towards Porur Bai Kadai</t>
  </si>
  <si>
    <t>Kundrathur</t>
  </si>
  <si>
    <t>Kundratthur Check Post Towards Kundratthur</t>
  </si>
  <si>
    <t>Kundratthur Check Post Towards Kumananchavadi</t>
  </si>
  <si>
    <t>Kundratthur Junction Towards Kundratthur</t>
  </si>
  <si>
    <t>Kundratthur Junction Towards Kumananchavadi</t>
  </si>
  <si>
    <t>Mangadu</t>
  </si>
  <si>
    <t>Mangadu Junction Towards Kundratthur &amp; Pattur</t>
  </si>
  <si>
    <t>Mangadu Temple Towards Kundratthur</t>
  </si>
  <si>
    <t>Mangadu Temple Towards Kumananchavadi</t>
  </si>
  <si>
    <t>Pammal</t>
  </si>
  <si>
    <t>Pallavaram Pammal Towards Pammal &amp; near Casa Grand</t>
  </si>
  <si>
    <t>Thiruneermalai</t>
  </si>
  <si>
    <t>Chrompet - Thiruneermalai Road Towards Thiruneermalai</t>
  </si>
  <si>
    <t>Chrompet - Thiruneermalai Road Towards Chrompet GST Road</t>
  </si>
  <si>
    <t>GST Road</t>
  </si>
  <si>
    <t>Chrompet bridge from Tambaram towards Airport</t>
  </si>
  <si>
    <t>Chrompet bridge from Velachery towards Airport</t>
  </si>
  <si>
    <t>Guduvanchery Towards Chengalpet</t>
  </si>
  <si>
    <t>Mahindra City, SP Koil Towards Tambaram</t>
  </si>
  <si>
    <t>Kattankulathur near sivananda gurukulam entrance Towards SP Koil</t>
  </si>
  <si>
    <t>Kattankulathur near sivananda gurukulam entrance Towards Guduvanchery</t>
  </si>
  <si>
    <t>Sp Kovil towards Chengalpattu</t>
  </si>
  <si>
    <t>GST Road - Maraimalai Nagar Towards Urappakkam &amp; Tambaram</t>
  </si>
  <si>
    <t>GST Road - Maraimalai Nagar Towards Mahindra World City</t>
  </si>
  <si>
    <t>GST Road - Pottheri near SRM Towards Mahindra City</t>
  </si>
  <si>
    <t>GST Road - Urappakkam Towards Gudvancherry &amp; MWC</t>
  </si>
  <si>
    <t>Vandalur - Kelambakkam Road Kandigai</t>
  </si>
  <si>
    <t>Kandigai Jn, Kelambakkam towards Vandalur</t>
  </si>
  <si>
    <t>Kandigai Jn, Vandalur Towards Kelambakkam</t>
  </si>
  <si>
    <t>Oragadam</t>
  </si>
  <si>
    <t>Manivakkam towards Tambaram</t>
  </si>
  <si>
    <t>Manivakkam towards oragadam</t>
  </si>
  <si>
    <t>Padappai To Oragadam</t>
  </si>
  <si>
    <t>Padappai vandalur to oragadam</t>
  </si>
  <si>
    <t>Padappai oragadam to Vandalur</t>
  </si>
  <si>
    <t>Oragadam near Apollo Tire Towards Oragadam &amp; Kanchipuram</t>
  </si>
  <si>
    <t>Oragadam near Apollo Tire Towards Padappai &amp; Vandalour</t>
  </si>
  <si>
    <t>Vallakottai Industrial Estate Towards Oragadam</t>
  </si>
  <si>
    <t>Vallakottai Industrial Estate Towards Sriperumbudur</t>
  </si>
  <si>
    <t>Pappanchathiram</t>
  </si>
  <si>
    <t>Queens Land - Pappanchathiram Towards Sriperambadhur</t>
  </si>
  <si>
    <t>Queens Land - Pappanchathiram Towards Poonamallee &amp; Koyembedu</t>
  </si>
  <si>
    <t>Sembarabakkam</t>
  </si>
  <si>
    <t>EVP Cinemas Sembarambakkam Towards Sriperambadhur</t>
  </si>
  <si>
    <t>EVP Cinemas Sembarambakkam Towards Poonamallee &amp; Koyembedu</t>
  </si>
  <si>
    <t xml:space="preserve">Poonamalle Bye Pass </t>
  </si>
  <si>
    <t>Poonamalle Bye Pass towards vanagaram</t>
  </si>
  <si>
    <t>Poonamalle Bye Pass towards poonamalle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</si>
</sst>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\-m\-yyyy"/>
    <numFmt numFmtId="177" formatCode="0.000000"/>
    <numFmt numFmtId="178" formatCode="dd\-mm\-yyyy"/>
  </numFmts>
  <fonts count="29">
    <font>
      <sz val="10"/>
      <color rgb="FF000000"/>
      <name val="Calibri"/>
      <charset val="134"/>
      <scheme val="minor"/>
    </font>
    <font>
      <sz val="10"/>
      <color theme="1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</fonts>
  <fills count="41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00FFFF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rgb="FFA6A6A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4" applyNumberFormat="0" applyAlignment="0" applyProtection="0">
      <alignment vertical="center"/>
    </xf>
    <xf numFmtId="0" fontId="16" fillId="12" borderId="15" applyNumberFormat="0" applyAlignment="0" applyProtection="0">
      <alignment vertical="center"/>
    </xf>
    <xf numFmtId="0" fontId="17" fillId="12" borderId="14" applyNumberFormat="0" applyAlignment="0" applyProtection="0">
      <alignment vertical="center"/>
    </xf>
    <xf numFmtId="0" fontId="18" fillId="13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0" borderId="0"/>
    <xf numFmtId="0" fontId="28" fillId="0" borderId="0">
      <alignment vertical="center"/>
    </xf>
    <xf numFmtId="0" fontId="28" fillId="0" borderId="0">
      <alignment vertical="center"/>
    </xf>
  </cellStyleXfs>
  <cellXfs count="52">
    <xf numFmtId="0" fontId="0" fillId="0" borderId="0" xfId="0"/>
    <xf numFmtId="0" fontId="0" fillId="0" borderId="0" xfId="0" applyFont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top"/>
    </xf>
    <xf numFmtId="0" fontId="1" fillId="5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vertical="center"/>
    </xf>
    <xf numFmtId="0" fontId="1" fillId="6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/>
    </xf>
    <xf numFmtId="0" fontId="1" fillId="7" borderId="4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center" vertical="top"/>
    </xf>
    <xf numFmtId="0" fontId="1" fillId="6" borderId="4" xfId="0" applyFont="1" applyFill="1" applyBorder="1" applyAlignment="1">
      <alignment horizontal="left"/>
    </xf>
    <xf numFmtId="0" fontId="4" fillId="5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176" fontId="1" fillId="4" borderId="4" xfId="0" applyNumberFormat="1" applyFont="1" applyFill="1" applyBorder="1" applyAlignment="1">
      <alignment horizontal="left" vertical="center"/>
    </xf>
    <xf numFmtId="176" fontId="4" fillId="4" borderId="4" xfId="0" applyNumberFormat="1" applyFont="1" applyFill="1" applyBorder="1" applyAlignment="1">
      <alignment horizontal="left" vertical="center"/>
    </xf>
    <xf numFmtId="0" fontId="4" fillId="8" borderId="5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4" fillId="8" borderId="7" xfId="0" applyFont="1" applyFill="1" applyBorder="1" applyAlignment="1">
      <alignment vertical="center" wrapText="1"/>
    </xf>
    <xf numFmtId="0" fontId="4" fillId="8" borderId="8" xfId="0" applyFont="1" applyFill="1" applyBorder="1" applyAlignment="1">
      <alignment vertical="center" wrapText="1"/>
    </xf>
    <xf numFmtId="1" fontId="1" fillId="4" borderId="4" xfId="0" applyNumberFormat="1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vertical="top"/>
    </xf>
    <xf numFmtId="177" fontId="1" fillId="4" borderId="4" xfId="0" applyNumberFormat="1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178" fontId="1" fillId="4" borderId="4" xfId="0" applyNumberFormat="1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10" xfId="0" applyFont="1" applyBorder="1" applyAlignment="1">
      <alignment vertical="top"/>
    </xf>
    <xf numFmtId="0" fontId="1" fillId="0" borderId="10" xfId="0" applyFont="1" applyBorder="1" applyAlignment="1">
      <alignment horizontal="center" vertical="top"/>
    </xf>
    <xf numFmtId="0" fontId="1" fillId="0" borderId="10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Normal" xfId="49"/>
    <cellStyle name="Normal 2" xfId="50"/>
    <cellStyle name="Normal 2 10 2" xfId="51"/>
    <cellStyle name="Normal 2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00"/>
  </sheetPr>
  <dimension ref="A1:S1128"/>
  <sheetViews>
    <sheetView tabSelected="1" topLeftCell="B1" workbookViewId="0">
      <selection activeCell="F26" sqref="F26"/>
    </sheetView>
  </sheetViews>
  <sheetFormatPr defaultColWidth="12.5714285714286" defaultRowHeight="15" customHeight="1"/>
  <cols>
    <col min="1" max="1" width="4.28571428571429" style="1" hidden="1" customWidth="1"/>
    <col min="2" max="2" width="7.71428571428571" style="1" customWidth="1"/>
    <col min="3" max="3" width="8.85714285714286" style="1" customWidth="1"/>
    <col min="4" max="4" width="11.4285714285714" style="1" customWidth="1"/>
    <col min="5" max="5" width="20.2857142857143" style="1" customWidth="1"/>
    <col min="6" max="6" width="43" style="1" customWidth="1"/>
    <col min="7" max="7" width="9.85714285714286" style="1" customWidth="1"/>
    <col min="8" max="8" width="12" style="1" customWidth="1"/>
    <col min="9" max="9" width="4.42857142857143" style="1" customWidth="1"/>
    <col min="10" max="10" width="38" style="1" customWidth="1"/>
    <col min="11" max="11" width="8.85714285714286" style="1" customWidth="1"/>
    <col min="12" max="12" width="10" style="1" customWidth="1"/>
    <col min="13" max="13" width="7" style="1" customWidth="1"/>
    <col min="14" max="14" width="13.7142857142857" style="1" customWidth="1"/>
    <col min="15" max="17" width="9.85714285714286" style="1" customWidth="1"/>
    <col min="18" max="19" width="13.2857142857143" style="1" customWidth="1"/>
    <col min="20" max="16384" width="12.5714285714286" style="1"/>
  </cols>
  <sheetData>
    <row r="1" ht="28.5" customHeight="1" spans="1:1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</row>
    <row r="2" customHeight="1" spans="1:19">
      <c r="A2" s="5">
        <v>1</v>
      </c>
      <c r="B2" s="6">
        <v>1</v>
      </c>
      <c r="C2" s="7" t="s">
        <v>19</v>
      </c>
      <c r="D2" s="7" t="s">
        <v>20</v>
      </c>
      <c r="E2" s="8" t="s">
        <v>21</v>
      </c>
      <c r="F2" s="9" t="s">
        <v>22</v>
      </c>
      <c r="G2" s="10">
        <v>1</v>
      </c>
      <c r="H2" s="10">
        <v>30</v>
      </c>
      <c r="I2" s="10">
        <v>25</v>
      </c>
      <c r="J2" s="10" t="s">
        <v>23</v>
      </c>
      <c r="K2" s="10">
        <v>750</v>
      </c>
      <c r="L2" s="10">
        <v>700000</v>
      </c>
      <c r="M2" s="10">
        <f t="shared" ref="M2:M65" si="0">K2*12</f>
        <v>9000</v>
      </c>
      <c r="N2" s="10">
        <f>K2*5</f>
        <v>3750</v>
      </c>
      <c r="O2" s="10">
        <f t="shared" ref="O2:O65" si="1">SUM(L2:N2)</f>
        <v>712750</v>
      </c>
      <c r="P2" s="10">
        <v>13.0532492</v>
      </c>
      <c r="Q2" s="10">
        <v>80.2506009</v>
      </c>
      <c r="R2" s="10" t="s">
        <v>24</v>
      </c>
      <c r="S2" s="11" t="s">
        <v>25</v>
      </c>
    </row>
    <row r="3" customHeight="1" spans="1:19">
      <c r="A3" s="5">
        <v>2</v>
      </c>
      <c r="B3" s="6">
        <v>2</v>
      </c>
      <c r="C3" s="7" t="s">
        <v>19</v>
      </c>
      <c r="D3" s="7" t="s">
        <v>20</v>
      </c>
      <c r="E3" s="8" t="s">
        <v>21</v>
      </c>
      <c r="F3" s="12" t="s">
        <v>26</v>
      </c>
      <c r="G3" s="10">
        <v>1</v>
      </c>
      <c r="H3" s="10">
        <v>30</v>
      </c>
      <c r="I3" s="10">
        <v>25</v>
      </c>
      <c r="J3" s="10" t="s">
        <v>23</v>
      </c>
      <c r="K3" s="10">
        <v>750</v>
      </c>
      <c r="L3" s="10">
        <v>700000</v>
      </c>
      <c r="M3" s="10">
        <f t="shared" si="0"/>
        <v>9000</v>
      </c>
      <c r="N3" s="10">
        <f>K3*5</f>
        <v>3750</v>
      </c>
      <c r="O3" s="10">
        <f t="shared" si="1"/>
        <v>712750</v>
      </c>
      <c r="P3" s="10">
        <v>13.0525973</v>
      </c>
      <c r="Q3" s="10">
        <v>80.2507199</v>
      </c>
      <c r="R3" s="10" t="s">
        <v>24</v>
      </c>
      <c r="S3" s="11" t="s">
        <v>25</v>
      </c>
    </row>
    <row r="4" customHeight="1" spans="1:19">
      <c r="A4" s="5">
        <v>3</v>
      </c>
      <c r="B4" s="6">
        <v>3</v>
      </c>
      <c r="C4" s="7" t="s">
        <v>19</v>
      </c>
      <c r="D4" s="13" t="s">
        <v>27</v>
      </c>
      <c r="E4" s="8" t="s">
        <v>21</v>
      </c>
      <c r="F4" s="7" t="s">
        <v>28</v>
      </c>
      <c r="G4" s="10">
        <v>1</v>
      </c>
      <c r="H4" s="10">
        <v>40</v>
      </c>
      <c r="I4" s="10">
        <v>25</v>
      </c>
      <c r="J4" s="10" t="s">
        <v>23</v>
      </c>
      <c r="K4" s="10">
        <f>H4*I4</f>
        <v>1000</v>
      </c>
      <c r="L4" s="10">
        <v>800000</v>
      </c>
      <c r="M4" s="10">
        <f t="shared" si="0"/>
        <v>12000</v>
      </c>
      <c r="N4" s="10">
        <f>K4*7</f>
        <v>7000</v>
      </c>
      <c r="O4" s="10">
        <f t="shared" si="1"/>
        <v>819000</v>
      </c>
      <c r="P4" s="10">
        <v>13.050835</v>
      </c>
      <c r="Q4" s="10">
        <v>80.250038</v>
      </c>
      <c r="R4" s="10" t="s">
        <v>24</v>
      </c>
      <c r="S4" s="11" t="s">
        <v>25</v>
      </c>
    </row>
    <row r="5" customHeight="1" spans="1:19">
      <c r="A5" s="5">
        <v>4</v>
      </c>
      <c r="B5" s="6">
        <v>4</v>
      </c>
      <c r="C5" s="7" t="s">
        <v>19</v>
      </c>
      <c r="D5" s="7" t="s">
        <v>27</v>
      </c>
      <c r="E5" s="8" t="s">
        <v>21</v>
      </c>
      <c r="F5" s="14" t="s">
        <v>29</v>
      </c>
      <c r="G5" s="10">
        <v>1</v>
      </c>
      <c r="H5" s="10">
        <v>40</v>
      </c>
      <c r="I5" s="10">
        <v>25</v>
      </c>
      <c r="J5" s="10" t="s">
        <v>23</v>
      </c>
      <c r="K5" s="10">
        <f>H5*I5</f>
        <v>1000</v>
      </c>
      <c r="L5" s="10">
        <v>800000</v>
      </c>
      <c r="M5" s="10">
        <f t="shared" si="0"/>
        <v>12000</v>
      </c>
      <c r="N5" s="10">
        <f>K5*7</f>
        <v>7000</v>
      </c>
      <c r="O5" s="10">
        <f t="shared" si="1"/>
        <v>819000</v>
      </c>
      <c r="P5" s="10">
        <v>13.050835</v>
      </c>
      <c r="Q5" s="10">
        <v>80.250038</v>
      </c>
      <c r="R5" s="10" t="s">
        <v>24</v>
      </c>
      <c r="S5" s="11" t="s">
        <v>25</v>
      </c>
    </row>
    <row r="6" customHeight="1" spans="1:19">
      <c r="A6" s="5"/>
      <c r="B6" s="6">
        <v>5</v>
      </c>
      <c r="C6" s="7" t="s">
        <v>19</v>
      </c>
      <c r="D6" s="7" t="s">
        <v>20</v>
      </c>
      <c r="E6" s="8" t="s">
        <v>21</v>
      </c>
      <c r="F6" s="14" t="s">
        <v>30</v>
      </c>
      <c r="G6" s="10">
        <v>1</v>
      </c>
      <c r="H6" s="10">
        <v>25</v>
      </c>
      <c r="I6" s="10">
        <v>20</v>
      </c>
      <c r="J6" s="10" t="s">
        <v>23</v>
      </c>
      <c r="K6" s="10">
        <f>H6*I6</f>
        <v>500</v>
      </c>
      <c r="L6" s="10">
        <v>500000</v>
      </c>
      <c r="M6" s="10">
        <f t="shared" si="0"/>
        <v>6000</v>
      </c>
      <c r="N6" s="10">
        <f t="shared" ref="N6:N15" si="2">K6*5</f>
        <v>2500</v>
      </c>
      <c r="O6" s="10">
        <f t="shared" si="1"/>
        <v>508500</v>
      </c>
      <c r="P6" s="10">
        <v>13.050835</v>
      </c>
      <c r="Q6" s="10">
        <v>80.250038</v>
      </c>
      <c r="R6" s="10" t="s">
        <v>24</v>
      </c>
      <c r="S6" s="11" t="s">
        <v>25</v>
      </c>
    </row>
    <row r="7" customHeight="1" spans="1:19">
      <c r="A7" s="5">
        <v>5</v>
      </c>
      <c r="B7" s="6">
        <v>6</v>
      </c>
      <c r="C7" s="7" t="s">
        <v>19</v>
      </c>
      <c r="D7" s="7" t="s">
        <v>20</v>
      </c>
      <c r="E7" s="8" t="s">
        <v>21</v>
      </c>
      <c r="F7" s="7" t="s">
        <v>31</v>
      </c>
      <c r="G7" s="10">
        <v>1</v>
      </c>
      <c r="H7" s="10">
        <v>30</v>
      </c>
      <c r="I7" s="10">
        <v>20</v>
      </c>
      <c r="J7" s="10" t="s">
        <v>23</v>
      </c>
      <c r="K7" s="10">
        <v>600</v>
      </c>
      <c r="L7" s="10">
        <v>800000</v>
      </c>
      <c r="M7" s="10">
        <f t="shared" si="0"/>
        <v>7200</v>
      </c>
      <c r="N7" s="10">
        <f t="shared" si="2"/>
        <v>3000</v>
      </c>
      <c r="O7" s="10">
        <f t="shared" si="1"/>
        <v>810200</v>
      </c>
      <c r="P7" s="10">
        <v>13.0521256</v>
      </c>
      <c r="Q7" s="10">
        <v>80.25068</v>
      </c>
      <c r="R7" s="10" t="s">
        <v>24</v>
      </c>
      <c r="S7" s="11" t="s">
        <v>25</v>
      </c>
    </row>
    <row r="8" customHeight="1" spans="1:19">
      <c r="A8" s="5">
        <v>7</v>
      </c>
      <c r="B8" s="6">
        <v>7</v>
      </c>
      <c r="C8" s="7" t="s">
        <v>19</v>
      </c>
      <c r="D8" s="7" t="s">
        <v>32</v>
      </c>
      <c r="E8" s="8" t="s">
        <v>21</v>
      </c>
      <c r="F8" s="7" t="s">
        <v>33</v>
      </c>
      <c r="G8" s="11">
        <v>1</v>
      </c>
      <c r="H8" s="11">
        <v>20</v>
      </c>
      <c r="I8" s="11">
        <v>45</v>
      </c>
      <c r="J8" s="11" t="s">
        <v>23</v>
      </c>
      <c r="K8" s="11">
        <f t="shared" ref="K8:K20" si="3">H8*I8</f>
        <v>900</v>
      </c>
      <c r="L8" s="10">
        <v>700000</v>
      </c>
      <c r="M8" s="10">
        <f t="shared" si="0"/>
        <v>10800</v>
      </c>
      <c r="N8" s="10">
        <f t="shared" si="2"/>
        <v>4500</v>
      </c>
      <c r="O8" s="10">
        <f t="shared" si="1"/>
        <v>715300</v>
      </c>
      <c r="P8" s="10">
        <v>13.0520053</v>
      </c>
      <c r="Q8" s="10">
        <v>80.2510585</v>
      </c>
      <c r="R8" s="10" t="s">
        <v>24</v>
      </c>
      <c r="S8" s="11" t="s">
        <v>25</v>
      </c>
    </row>
    <row r="9" customHeight="1" spans="1:19">
      <c r="A9" s="5">
        <v>8</v>
      </c>
      <c r="B9" s="6">
        <v>8</v>
      </c>
      <c r="C9" s="7" t="s">
        <v>19</v>
      </c>
      <c r="D9" s="7" t="s">
        <v>32</v>
      </c>
      <c r="E9" s="8" t="s">
        <v>21</v>
      </c>
      <c r="F9" s="9" t="s">
        <v>34</v>
      </c>
      <c r="G9" s="11">
        <v>1</v>
      </c>
      <c r="H9" s="11">
        <v>20</v>
      </c>
      <c r="I9" s="11">
        <v>45</v>
      </c>
      <c r="J9" s="11" t="s">
        <v>23</v>
      </c>
      <c r="K9" s="11">
        <f t="shared" si="3"/>
        <v>900</v>
      </c>
      <c r="L9" s="10">
        <v>700000</v>
      </c>
      <c r="M9" s="10">
        <f t="shared" si="0"/>
        <v>10800</v>
      </c>
      <c r="N9" s="10">
        <f t="shared" si="2"/>
        <v>4500</v>
      </c>
      <c r="O9" s="10">
        <f t="shared" si="1"/>
        <v>715300</v>
      </c>
      <c r="P9" s="10">
        <v>13.0520053</v>
      </c>
      <c r="Q9" s="10">
        <v>80.2510585</v>
      </c>
      <c r="R9" s="10" t="s">
        <v>24</v>
      </c>
      <c r="S9" s="11" t="s">
        <v>25</v>
      </c>
    </row>
    <row r="10" customHeight="1" spans="1:19">
      <c r="A10" s="5">
        <v>9</v>
      </c>
      <c r="B10" s="6">
        <v>9</v>
      </c>
      <c r="C10" s="7" t="s">
        <v>19</v>
      </c>
      <c r="D10" s="7" t="s">
        <v>32</v>
      </c>
      <c r="E10" s="8" t="s">
        <v>21</v>
      </c>
      <c r="F10" s="15" t="s">
        <v>35</v>
      </c>
      <c r="G10" s="11">
        <v>1</v>
      </c>
      <c r="H10" s="11">
        <v>46</v>
      </c>
      <c r="I10" s="11">
        <v>35</v>
      </c>
      <c r="J10" s="11" t="s">
        <v>23</v>
      </c>
      <c r="K10" s="11">
        <f t="shared" si="3"/>
        <v>1610</v>
      </c>
      <c r="L10" s="10">
        <v>1000000</v>
      </c>
      <c r="M10" s="10">
        <f t="shared" si="0"/>
        <v>19320</v>
      </c>
      <c r="N10" s="10">
        <f t="shared" si="2"/>
        <v>8050</v>
      </c>
      <c r="O10" s="10">
        <f t="shared" si="1"/>
        <v>1027370</v>
      </c>
      <c r="P10" s="10">
        <v>13.0527513</v>
      </c>
      <c r="Q10" s="10">
        <v>80.2516382</v>
      </c>
      <c r="R10" s="10" t="s">
        <v>24</v>
      </c>
      <c r="S10" s="11" t="s">
        <v>25</v>
      </c>
    </row>
    <row r="11" ht="13.5" customHeight="1" spans="1:19">
      <c r="A11" s="16" t="s">
        <v>36</v>
      </c>
      <c r="B11" s="6">
        <v>10</v>
      </c>
      <c r="C11" s="7" t="s">
        <v>19</v>
      </c>
      <c r="D11" s="7" t="s">
        <v>32</v>
      </c>
      <c r="E11" s="8" t="s">
        <v>37</v>
      </c>
      <c r="F11" s="7" t="s">
        <v>36</v>
      </c>
      <c r="G11" s="10">
        <v>1</v>
      </c>
      <c r="H11" s="10">
        <v>70</v>
      </c>
      <c r="I11" s="10">
        <v>20</v>
      </c>
      <c r="J11" s="10" t="s">
        <v>38</v>
      </c>
      <c r="K11" s="10">
        <f t="shared" si="3"/>
        <v>1400</v>
      </c>
      <c r="L11" s="10">
        <v>350000</v>
      </c>
      <c r="M11" s="10">
        <f t="shared" si="0"/>
        <v>16800</v>
      </c>
      <c r="N11" s="10">
        <f t="shared" si="2"/>
        <v>7000</v>
      </c>
      <c r="O11" s="10">
        <f t="shared" si="1"/>
        <v>373800</v>
      </c>
      <c r="P11" s="10">
        <v>13.0881355</v>
      </c>
      <c r="Q11" s="10">
        <v>80.2816858</v>
      </c>
      <c r="R11" s="10"/>
      <c r="S11" s="11"/>
    </row>
    <row r="12" ht="13.5" customHeight="1" spans="1:19">
      <c r="A12" s="5">
        <v>13</v>
      </c>
      <c r="B12" s="6">
        <v>11</v>
      </c>
      <c r="C12" s="7" t="s">
        <v>19</v>
      </c>
      <c r="D12" s="7" t="s">
        <v>20</v>
      </c>
      <c r="E12" s="8" t="s">
        <v>39</v>
      </c>
      <c r="F12" s="7" t="s">
        <v>40</v>
      </c>
      <c r="G12" s="10">
        <v>1</v>
      </c>
      <c r="H12" s="10">
        <v>50</v>
      </c>
      <c r="I12" s="10">
        <v>20</v>
      </c>
      <c r="J12" s="10" t="s">
        <v>23</v>
      </c>
      <c r="K12" s="10">
        <f t="shared" si="3"/>
        <v>1000</v>
      </c>
      <c r="L12" s="10">
        <v>600000</v>
      </c>
      <c r="M12" s="10">
        <f t="shared" si="0"/>
        <v>12000</v>
      </c>
      <c r="N12" s="10">
        <f t="shared" si="2"/>
        <v>5000</v>
      </c>
      <c r="O12" s="10">
        <f t="shared" si="1"/>
        <v>617000</v>
      </c>
      <c r="P12" s="10">
        <v>13.019296</v>
      </c>
      <c r="Q12" s="10">
        <v>80.224509</v>
      </c>
      <c r="R12" s="10" t="s">
        <v>24</v>
      </c>
      <c r="S12" s="11" t="s">
        <v>25</v>
      </c>
    </row>
    <row r="13" ht="13.5" customHeight="1" spans="1:19">
      <c r="A13" s="5"/>
      <c r="B13" s="6">
        <v>12</v>
      </c>
      <c r="C13" s="7" t="s">
        <v>19</v>
      </c>
      <c r="D13" s="7" t="s">
        <v>20</v>
      </c>
      <c r="E13" s="8" t="s">
        <v>39</v>
      </c>
      <c r="F13" s="10" t="s">
        <v>41</v>
      </c>
      <c r="G13" s="17">
        <v>1</v>
      </c>
      <c r="H13" s="18">
        <v>45</v>
      </c>
      <c r="I13" s="18">
        <v>20</v>
      </c>
      <c r="J13" s="18" t="s">
        <v>38</v>
      </c>
      <c r="K13" s="19">
        <f t="shared" si="3"/>
        <v>900</v>
      </c>
      <c r="L13" s="19">
        <v>500000</v>
      </c>
      <c r="M13" s="19">
        <f t="shared" si="0"/>
        <v>10800</v>
      </c>
      <c r="N13" s="19">
        <f t="shared" si="2"/>
        <v>4500</v>
      </c>
      <c r="O13" s="19">
        <f t="shared" si="1"/>
        <v>515300</v>
      </c>
      <c r="P13" s="10">
        <v>13.019296</v>
      </c>
      <c r="Q13" s="10">
        <v>80.224509</v>
      </c>
      <c r="R13" s="10" t="s">
        <v>24</v>
      </c>
      <c r="S13" s="11"/>
    </row>
    <row r="14" ht="13.5" customHeight="1" spans="1:19">
      <c r="A14" s="5"/>
      <c r="B14" s="6">
        <v>13</v>
      </c>
      <c r="C14" s="7" t="s">
        <v>19</v>
      </c>
      <c r="D14" s="7" t="s">
        <v>20</v>
      </c>
      <c r="E14" s="8" t="s">
        <v>39</v>
      </c>
      <c r="F14" s="10" t="s">
        <v>41</v>
      </c>
      <c r="G14" s="17">
        <v>1</v>
      </c>
      <c r="H14" s="18">
        <v>60</v>
      </c>
      <c r="I14" s="18">
        <v>25</v>
      </c>
      <c r="J14" s="18" t="s">
        <v>23</v>
      </c>
      <c r="K14" s="19">
        <f t="shared" si="3"/>
        <v>1500</v>
      </c>
      <c r="L14" s="19">
        <v>650000</v>
      </c>
      <c r="M14" s="19">
        <f t="shared" si="0"/>
        <v>18000</v>
      </c>
      <c r="N14" s="19">
        <f t="shared" si="2"/>
        <v>7500</v>
      </c>
      <c r="O14" s="19">
        <f t="shared" si="1"/>
        <v>675500</v>
      </c>
      <c r="P14" s="10">
        <v>13.019296</v>
      </c>
      <c r="Q14" s="10">
        <v>80.224509</v>
      </c>
      <c r="R14" s="10" t="s">
        <v>24</v>
      </c>
      <c r="S14" s="11"/>
    </row>
    <row r="15" ht="13.5" customHeight="1" spans="1:19">
      <c r="A15" s="5"/>
      <c r="B15" s="6">
        <v>14</v>
      </c>
      <c r="C15" s="7" t="s">
        <v>19</v>
      </c>
      <c r="D15" s="7" t="s">
        <v>20</v>
      </c>
      <c r="E15" s="8" t="s">
        <v>39</v>
      </c>
      <c r="F15" s="10" t="s">
        <v>42</v>
      </c>
      <c r="G15" s="17">
        <v>1</v>
      </c>
      <c r="H15" s="18">
        <v>60</v>
      </c>
      <c r="I15" s="18">
        <v>25</v>
      </c>
      <c r="J15" s="18" t="s">
        <v>23</v>
      </c>
      <c r="K15" s="19">
        <f t="shared" si="3"/>
        <v>1500</v>
      </c>
      <c r="L15" s="19">
        <v>650000</v>
      </c>
      <c r="M15" s="19">
        <f t="shared" si="0"/>
        <v>18000</v>
      </c>
      <c r="N15" s="19">
        <f t="shared" si="2"/>
        <v>7500</v>
      </c>
      <c r="O15" s="19">
        <f t="shared" si="1"/>
        <v>675500</v>
      </c>
      <c r="P15" s="10">
        <v>13.019296</v>
      </c>
      <c r="Q15" s="10">
        <v>80.224509</v>
      </c>
      <c r="R15" s="10" t="s">
        <v>24</v>
      </c>
      <c r="S15" s="11"/>
    </row>
    <row r="16" customHeight="1" spans="1:19">
      <c r="A16" s="5">
        <v>16</v>
      </c>
      <c r="B16" s="6">
        <v>15</v>
      </c>
      <c r="C16" s="7" t="s">
        <v>19</v>
      </c>
      <c r="D16" s="7" t="s">
        <v>27</v>
      </c>
      <c r="E16" s="8" t="s">
        <v>43</v>
      </c>
      <c r="F16" s="7" t="s">
        <v>44</v>
      </c>
      <c r="G16" s="10">
        <v>1</v>
      </c>
      <c r="H16" s="10">
        <v>25</v>
      </c>
      <c r="I16" s="10">
        <v>25</v>
      </c>
      <c r="J16" s="10" t="s">
        <v>23</v>
      </c>
      <c r="K16" s="10">
        <f t="shared" si="3"/>
        <v>625</v>
      </c>
      <c r="L16" s="10">
        <v>450000</v>
      </c>
      <c r="M16" s="10">
        <f t="shared" si="0"/>
        <v>7500</v>
      </c>
      <c r="N16" s="10">
        <f>K16*7</f>
        <v>4375</v>
      </c>
      <c r="O16" s="10">
        <f t="shared" si="1"/>
        <v>461875</v>
      </c>
      <c r="P16" s="10">
        <v>13.015716</v>
      </c>
      <c r="Q16" s="10">
        <v>80.225812</v>
      </c>
      <c r="R16" s="10" t="s">
        <v>24</v>
      </c>
      <c r="S16" s="11" t="s">
        <v>25</v>
      </c>
    </row>
    <row r="17" ht="13.5" customHeight="1" spans="1:19">
      <c r="A17" s="5"/>
      <c r="B17" s="6">
        <v>16</v>
      </c>
      <c r="C17" s="7" t="s">
        <v>19</v>
      </c>
      <c r="D17" s="7" t="s">
        <v>20</v>
      </c>
      <c r="E17" s="8" t="s">
        <v>45</v>
      </c>
      <c r="F17" s="15" t="s">
        <v>46</v>
      </c>
      <c r="G17" s="10">
        <v>1</v>
      </c>
      <c r="H17" s="10">
        <v>40</v>
      </c>
      <c r="I17" s="10">
        <v>30</v>
      </c>
      <c r="J17" s="10" t="s">
        <v>38</v>
      </c>
      <c r="K17" s="10">
        <f t="shared" si="3"/>
        <v>1200</v>
      </c>
      <c r="L17" s="10">
        <v>350000</v>
      </c>
      <c r="M17" s="10">
        <f t="shared" si="0"/>
        <v>14400</v>
      </c>
      <c r="N17" s="10">
        <f t="shared" ref="N17:N29" si="4">K17*5</f>
        <v>6000</v>
      </c>
      <c r="O17" s="10">
        <f t="shared" si="1"/>
        <v>370400</v>
      </c>
      <c r="P17" s="10">
        <v>13.0043056</v>
      </c>
      <c r="Q17" s="10">
        <v>80.2086267</v>
      </c>
      <c r="R17" s="10"/>
      <c r="S17" s="11"/>
    </row>
    <row r="18" ht="13.5" customHeight="1" spans="1:19">
      <c r="A18" s="5">
        <v>17</v>
      </c>
      <c r="B18" s="6">
        <v>17</v>
      </c>
      <c r="C18" s="7" t="s">
        <v>19</v>
      </c>
      <c r="D18" s="7" t="s">
        <v>20</v>
      </c>
      <c r="E18" s="8" t="s">
        <v>47</v>
      </c>
      <c r="F18" s="7" t="s">
        <v>48</v>
      </c>
      <c r="G18" s="10">
        <v>1</v>
      </c>
      <c r="H18" s="10">
        <v>20</v>
      </c>
      <c r="I18" s="10">
        <v>25</v>
      </c>
      <c r="J18" s="10" t="s">
        <v>23</v>
      </c>
      <c r="K18" s="10">
        <f t="shared" si="3"/>
        <v>500</v>
      </c>
      <c r="L18" s="10">
        <v>250000</v>
      </c>
      <c r="M18" s="10">
        <f t="shared" si="0"/>
        <v>6000</v>
      </c>
      <c r="N18" s="10">
        <f t="shared" si="4"/>
        <v>2500</v>
      </c>
      <c r="O18" s="10">
        <f t="shared" si="1"/>
        <v>258500</v>
      </c>
      <c r="P18" s="10">
        <v>13.0786484</v>
      </c>
      <c r="Q18" s="10">
        <v>80.275298</v>
      </c>
      <c r="R18" s="10" t="s">
        <v>49</v>
      </c>
      <c r="S18" s="11"/>
    </row>
    <row r="19" ht="13.5" customHeight="1" spans="1:19">
      <c r="A19" s="5">
        <v>18</v>
      </c>
      <c r="B19" s="6">
        <v>18</v>
      </c>
      <c r="C19" s="7" t="s">
        <v>19</v>
      </c>
      <c r="D19" s="7" t="s">
        <v>20</v>
      </c>
      <c r="E19" s="8" t="s">
        <v>47</v>
      </c>
      <c r="F19" s="9" t="s">
        <v>50</v>
      </c>
      <c r="G19" s="10">
        <v>1</v>
      </c>
      <c r="H19" s="10">
        <v>20</v>
      </c>
      <c r="I19" s="10">
        <v>25</v>
      </c>
      <c r="J19" s="10" t="s">
        <v>23</v>
      </c>
      <c r="K19" s="10">
        <f t="shared" si="3"/>
        <v>500</v>
      </c>
      <c r="L19" s="10">
        <v>250000</v>
      </c>
      <c r="M19" s="10">
        <f t="shared" si="0"/>
        <v>6000</v>
      </c>
      <c r="N19" s="10">
        <f t="shared" si="4"/>
        <v>2500</v>
      </c>
      <c r="O19" s="10">
        <f t="shared" si="1"/>
        <v>258500</v>
      </c>
      <c r="P19" s="10">
        <v>13.0786484</v>
      </c>
      <c r="Q19" s="10">
        <v>80.275298</v>
      </c>
      <c r="R19" s="10" t="s">
        <v>49</v>
      </c>
      <c r="S19" s="11"/>
    </row>
    <row r="20" customHeight="1" spans="1:19">
      <c r="A20" s="5">
        <v>19</v>
      </c>
      <c r="B20" s="6">
        <v>19</v>
      </c>
      <c r="C20" s="7" t="s">
        <v>19</v>
      </c>
      <c r="D20" s="7" t="s">
        <v>20</v>
      </c>
      <c r="E20" s="8" t="s">
        <v>51</v>
      </c>
      <c r="F20" s="9" t="s">
        <v>52</v>
      </c>
      <c r="G20" s="10">
        <v>1</v>
      </c>
      <c r="H20" s="10">
        <v>40</v>
      </c>
      <c r="I20" s="10">
        <v>25</v>
      </c>
      <c r="J20" s="10" t="s">
        <v>38</v>
      </c>
      <c r="K20" s="10">
        <f t="shared" si="3"/>
        <v>1000</v>
      </c>
      <c r="L20" s="10">
        <v>450000</v>
      </c>
      <c r="M20" s="10">
        <f t="shared" si="0"/>
        <v>12000</v>
      </c>
      <c r="N20" s="10">
        <f t="shared" si="4"/>
        <v>5000</v>
      </c>
      <c r="O20" s="10">
        <f t="shared" si="1"/>
        <v>467000</v>
      </c>
      <c r="P20" s="10">
        <v>13.0680374</v>
      </c>
      <c r="Q20" s="10">
        <v>80.271151</v>
      </c>
      <c r="R20" s="10"/>
      <c r="S20" s="11"/>
    </row>
    <row r="21" customHeight="1" spans="1:19">
      <c r="A21" s="5">
        <v>20</v>
      </c>
      <c r="B21" s="6">
        <v>20</v>
      </c>
      <c r="C21" s="7" t="s">
        <v>19</v>
      </c>
      <c r="D21" s="7" t="s">
        <v>20</v>
      </c>
      <c r="E21" s="8" t="s">
        <v>51</v>
      </c>
      <c r="F21" s="7" t="s">
        <v>53</v>
      </c>
      <c r="G21" s="10">
        <v>1</v>
      </c>
      <c r="H21" s="10">
        <v>18</v>
      </c>
      <c r="I21" s="10">
        <v>25</v>
      </c>
      <c r="J21" s="10" t="s">
        <v>23</v>
      </c>
      <c r="K21" s="10">
        <v>450</v>
      </c>
      <c r="L21" s="10">
        <v>300000</v>
      </c>
      <c r="M21" s="10">
        <f t="shared" si="0"/>
        <v>5400</v>
      </c>
      <c r="N21" s="10">
        <f t="shared" si="4"/>
        <v>2250</v>
      </c>
      <c r="O21" s="10">
        <f t="shared" si="1"/>
        <v>307650</v>
      </c>
      <c r="P21" s="10">
        <v>13.056499</v>
      </c>
      <c r="Q21" s="10">
        <v>80.256724</v>
      </c>
      <c r="R21" s="10" t="s">
        <v>24</v>
      </c>
      <c r="S21" s="11" t="s">
        <v>25</v>
      </c>
    </row>
    <row r="22" customHeight="1" spans="1:19">
      <c r="A22" s="5"/>
      <c r="B22" s="6">
        <v>21</v>
      </c>
      <c r="C22" s="7" t="s">
        <v>19</v>
      </c>
      <c r="D22" s="7" t="s">
        <v>20</v>
      </c>
      <c r="E22" s="8" t="s">
        <v>51</v>
      </c>
      <c r="F22" s="7" t="s">
        <v>54</v>
      </c>
      <c r="G22" s="10">
        <v>1</v>
      </c>
      <c r="H22" s="10">
        <v>25</v>
      </c>
      <c r="I22" s="10">
        <v>20</v>
      </c>
      <c r="J22" s="10" t="s">
        <v>23</v>
      </c>
      <c r="K22" s="10">
        <v>500</v>
      </c>
      <c r="L22" s="10">
        <v>300000</v>
      </c>
      <c r="M22" s="10">
        <f t="shared" si="0"/>
        <v>6000</v>
      </c>
      <c r="N22" s="10">
        <f t="shared" si="4"/>
        <v>2500</v>
      </c>
      <c r="O22" s="10">
        <f t="shared" si="1"/>
        <v>308500</v>
      </c>
      <c r="P22" s="10">
        <v>13.0578991</v>
      </c>
      <c r="Q22" s="10">
        <v>80.2577836</v>
      </c>
      <c r="R22" s="10" t="s">
        <v>55</v>
      </c>
      <c r="S22" s="11" t="s">
        <v>25</v>
      </c>
    </row>
    <row r="23" customHeight="1" spans="1:19">
      <c r="A23" s="5">
        <v>22</v>
      </c>
      <c r="B23" s="6">
        <v>22</v>
      </c>
      <c r="C23" s="7" t="s">
        <v>19</v>
      </c>
      <c r="D23" s="7" t="s">
        <v>56</v>
      </c>
      <c r="E23" s="8" t="s">
        <v>51</v>
      </c>
      <c r="F23" s="7" t="s">
        <v>57</v>
      </c>
      <c r="G23" s="10">
        <v>1</v>
      </c>
      <c r="H23" s="10">
        <v>40</v>
      </c>
      <c r="I23" s="10">
        <v>20</v>
      </c>
      <c r="J23" s="10" t="s">
        <v>23</v>
      </c>
      <c r="K23" s="10">
        <v>800</v>
      </c>
      <c r="L23" s="10">
        <v>400000</v>
      </c>
      <c r="M23" s="10">
        <f t="shared" si="0"/>
        <v>9600</v>
      </c>
      <c r="N23" s="10">
        <f t="shared" si="4"/>
        <v>4000</v>
      </c>
      <c r="O23" s="10">
        <f t="shared" si="1"/>
        <v>413600</v>
      </c>
      <c r="P23" s="10">
        <v>13.053556</v>
      </c>
      <c r="Q23" s="10">
        <v>80.25264</v>
      </c>
      <c r="R23" s="10" t="s">
        <v>55</v>
      </c>
      <c r="S23" s="11" t="s">
        <v>25</v>
      </c>
    </row>
    <row r="24" customHeight="1" spans="1:19">
      <c r="A24" s="5"/>
      <c r="B24" s="6">
        <v>23</v>
      </c>
      <c r="C24" s="7" t="s">
        <v>19</v>
      </c>
      <c r="D24" s="7" t="s">
        <v>20</v>
      </c>
      <c r="E24" s="8" t="s">
        <v>58</v>
      </c>
      <c r="F24" s="20" t="s">
        <v>59</v>
      </c>
      <c r="G24" s="21">
        <v>1</v>
      </c>
      <c r="H24" s="22">
        <v>30</v>
      </c>
      <c r="I24" s="22">
        <v>25</v>
      </c>
      <c r="J24" s="22" t="s">
        <v>38</v>
      </c>
      <c r="K24" s="22">
        <v>750</v>
      </c>
      <c r="L24" s="10">
        <v>400000</v>
      </c>
      <c r="M24" s="10">
        <f t="shared" si="0"/>
        <v>9000</v>
      </c>
      <c r="N24" s="10">
        <f t="shared" si="4"/>
        <v>3750</v>
      </c>
      <c r="O24" s="10">
        <f t="shared" si="1"/>
        <v>412750</v>
      </c>
      <c r="P24" s="10">
        <v>13.040172</v>
      </c>
      <c r="Q24" s="10">
        <v>80.247106</v>
      </c>
      <c r="R24" s="10"/>
      <c r="S24" s="11"/>
    </row>
    <row r="25" customHeight="1" spans="1:19">
      <c r="A25" s="5"/>
      <c r="B25" s="6">
        <v>24</v>
      </c>
      <c r="C25" s="7" t="s">
        <v>19</v>
      </c>
      <c r="D25" s="7" t="s">
        <v>20</v>
      </c>
      <c r="E25" s="8" t="s">
        <v>58</v>
      </c>
      <c r="F25" s="20" t="s">
        <v>60</v>
      </c>
      <c r="G25" s="21">
        <v>1</v>
      </c>
      <c r="H25" s="22">
        <v>40</v>
      </c>
      <c r="I25" s="22">
        <v>25</v>
      </c>
      <c r="J25" s="22" t="s">
        <v>23</v>
      </c>
      <c r="K25" s="22">
        <v>1000</v>
      </c>
      <c r="L25" s="10">
        <v>500000</v>
      </c>
      <c r="M25" s="10">
        <f t="shared" si="0"/>
        <v>12000</v>
      </c>
      <c r="N25" s="10">
        <f t="shared" si="4"/>
        <v>5000</v>
      </c>
      <c r="O25" s="10">
        <f t="shared" si="1"/>
        <v>517000</v>
      </c>
      <c r="P25" s="10">
        <v>13.040172</v>
      </c>
      <c r="Q25" s="10">
        <v>80.247106</v>
      </c>
      <c r="R25" s="10" t="s">
        <v>24</v>
      </c>
      <c r="S25" s="11" t="s">
        <v>25</v>
      </c>
    </row>
    <row r="26" customHeight="1" spans="1:19">
      <c r="A26" s="5"/>
      <c r="B26" s="6">
        <v>25</v>
      </c>
      <c r="C26" s="7" t="s">
        <v>19</v>
      </c>
      <c r="D26" s="7" t="s">
        <v>20</v>
      </c>
      <c r="E26" s="8" t="s">
        <v>61</v>
      </c>
      <c r="F26" s="9" t="s">
        <v>62</v>
      </c>
      <c r="G26" s="10">
        <v>1</v>
      </c>
      <c r="H26" s="10">
        <v>50</v>
      </c>
      <c r="I26" s="10">
        <v>20</v>
      </c>
      <c r="J26" s="10" t="s">
        <v>23</v>
      </c>
      <c r="K26" s="10">
        <f>H26*I26</f>
        <v>1000</v>
      </c>
      <c r="L26" s="10">
        <v>550000</v>
      </c>
      <c r="M26" s="10">
        <f t="shared" si="0"/>
        <v>12000</v>
      </c>
      <c r="N26" s="10">
        <f t="shared" si="4"/>
        <v>5000</v>
      </c>
      <c r="O26" s="10">
        <f t="shared" si="1"/>
        <v>567000</v>
      </c>
      <c r="P26" s="10">
        <v>13.068234</v>
      </c>
      <c r="Q26" s="10">
        <v>80.2714566</v>
      </c>
      <c r="R26" s="10" t="s">
        <v>24</v>
      </c>
      <c r="S26" s="11" t="s">
        <v>25</v>
      </c>
    </row>
    <row r="27" customHeight="1" spans="1:19">
      <c r="A27" s="5">
        <v>23</v>
      </c>
      <c r="B27" s="6">
        <v>26</v>
      </c>
      <c r="C27" s="7" t="s">
        <v>19</v>
      </c>
      <c r="D27" s="7" t="s">
        <v>20</v>
      </c>
      <c r="E27" s="8" t="s">
        <v>63</v>
      </c>
      <c r="F27" s="7" t="s">
        <v>64</v>
      </c>
      <c r="G27" s="10">
        <v>1</v>
      </c>
      <c r="H27" s="10">
        <v>30</v>
      </c>
      <c r="I27" s="10">
        <v>15</v>
      </c>
      <c r="J27" s="10" t="s">
        <v>23</v>
      </c>
      <c r="K27" s="10">
        <v>450</v>
      </c>
      <c r="L27" s="10">
        <v>350000</v>
      </c>
      <c r="M27" s="10">
        <f t="shared" si="0"/>
        <v>5400</v>
      </c>
      <c r="N27" s="10">
        <f t="shared" si="4"/>
        <v>2250</v>
      </c>
      <c r="O27" s="10">
        <f t="shared" si="1"/>
        <v>357650</v>
      </c>
      <c r="P27" s="10">
        <v>13.0480931</v>
      </c>
      <c r="Q27" s="10">
        <v>80.2539934</v>
      </c>
      <c r="R27" s="10" t="s">
        <v>49</v>
      </c>
      <c r="S27" s="11"/>
    </row>
    <row r="28" ht="13.5" customHeight="1" spans="1:19">
      <c r="A28" s="5"/>
      <c r="B28" s="6">
        <v>27</v>
      </c>
      <c r="C28" s="7" t="s">
        <v>19</v>
      </c>
      <c r="D28" s="7" t="s">
        <v>20</v>
      </c>
      <c r="E28" s="8" t="s">
        <v>63</v>
      </c>
      <c r="F28" s="7" t="s">
        <v>65</v>
      </c>
      <c r="G28" s="10">
        <v>1</v>
      </c>
      <c r="H28" s="10">
        <v>22</v>
      </c>
      <c r="I28" s="10">
        <v>25</v>
      </c>
      <c r="J28" s="10" t="s">
        <v>38</v>
      </c>
      <c r="K28" s="10">
        <f>H28*I28</f>
        <v>550</v>
      </c>
      <c r="L28" s="10">
        <v>275000</v>
      </c>
      <c r="M28" s="10">
        <f t="shared" si="0"/>
        <v>6600</v>
      </c>
      <c r="N28" s="10">
        <f t="shared" si="4"/>
        <v>2750</v>
      </c>
      <c r="O28" s="10">
        <f t="shared" si="1"/>
        <v>284350</v>
      </c>
      <c r="P28" s="10">
        <v>13.0479185</v>
      </c>
      <c r="Q28" s="10">
        <v>80.2541003</v>
      </c>
      <c r="R28" s="10"/>
      <c r="S28" s="11"/>
    </row>
    <row r="29" ht="13.5" customHeight="1" spans="1:19">
      <c r="A29" s="5">
        <v>24</v>
      </c>
      <c r="B29" s="6">
        <v>28</v>
      </c>
      <c r="C29" s="7" t="s">
        <v>19</v>
      </c>
      <c r="D29" s="7" t="s">
        <v>20</v>
      </c>
      <c r="E29" s="8" t="s">
        <v>66</v>
      </c>
      <c r="F29" s="7" t="s">
        <v>67</v>
      </c>
      <c r="G29" s="10">
        <v>1</v>
      </c>
      <c r="H29" s="10">
        <v>20</v>
      </c>
      <c r="I29" s="10">
        <v>25</v>
      </c>
      <c r="J29" s="10" t="s">
        <v>23</v>
      </c>
      <c r="K29" s="10">
        <v>500</v>
      </c>
      <c r="L29" s="10">
        <v>250000</v>
      </c>
      <c r="M29" s="10">
        <f t="shared" si="0"/>
        <v>6000</v>
      </c>
      <c r="N29" s="10">
        <f t="shared" si="4"/>
        <v>2500</v>
      </c>
      <c r="O29" s="10">
        <f t="shared" si="1"/>
        <v>258500</v>
      </c>
      <c r="P29" s="10">
        <v>13.048869</v>
      </c>
      <c r="Q29" s="10">
        <v>80.233352</v>
      </c>
      <c r="R29" s="10" t="s">
        <v>55</v>
      </c>
      <c r="S29" s="11" t="s">
        <v>25</v>
      </c>
    </row>
    <row r="30" ht="13.5" customHeight="1" spans="1:19">
      <c r="A30" s="5"/>
      <c r="B30" s="6">
        <v>29</v>
      </c>
      <c r="C30" s="7" t="s">
        <v>19</v>
      </c>
      <c r="D30" s="7" t="s">
        <v>27</v>
      </c>
      <c r="E30" s="8" t="s">
        <v>66</v>
      </c>
      <c r="F30" s="14" t="s">
        <v>68</v>
      </c>
      <c r="G30" s="10">
        <v>1</v>
      </c>
      <c r="H30" s="10">
        <v>40</v>
      </c>
      <c r="I30" s="10">
        <v>25</v>
      </c>
      <c r="J30" s="10" t="s">
        <v>38</v>
      </c>
      <c r="K30" s="10">
        <f>H30*I30</f>
        <v>1000</v>
      </c>
      <c r="L30" s="10">
        <v>450000</v>
      </c>
      <c r="M30" s="10">
        <f t="shared" si="0"/>
        <v>12000</v>
      </c>
      <c r="N30" s="10">
        <f>K30*7</f>
        <v>7000</v>
      </c>
      <c r="O30" s="10">
        <f t="shared" si="1"/>
        <v>469000</v>
      </c>
      <c r="P30" s="23">
        <v>13.045337</v>
      </c>
      <c r="Q30" s="23">
        <v>80.240761</v>
      </c>
      <c r="R30" s="10"/>
      <c r="S30" s="11"/>
    </row>
    <row r="31" ht="13.5" customHeight="1" spans="1:19">
      <c r="A31" s="5">
        <v>25</v>
      </c>
      <c r="B31" s="6">
        <v>30</v>
      </c>
      <c r="C31" s="7" t="s">
        <v>19</v>
      </c>
      <c r="D31" s="7" t="s">
        <v>32</v>
      </c>
      <c r="E31" s="8" t="s">
        <v>66</v>
      </c>
      <c r="F31" s="14" t="s">
        <v>69</v>
      </c>
      <c r="G31" s="10">
        <v>1</v>
      </c>
      <c r="H31" s="10">
        <v>25</v>
      </c>
      <c r="I31" s="10">
        <v>25</v>
      </c>
      <c r="J31" s="10" t="s">
        <v>23</v>
      </c>
      <c r="K31" s="10">
        <v>625</v>
      </c>
      <c r="L31" s="10">
        <v>250000</v>
      </c>
      <c r="M31" s="10">
        <f t="shared" si="0"/>
        <v>7500</v>
      </c>
      <c r="N31" s="10">
        <f t="shared" ref="N31:N45" si="5">K31*5</f>
        <v>3125</v>
      </c>
      <c r="O31" s="10">
        <f t="shared" si="1"/>
        <v>260625</v>
      </c>
      <c r="P31" s="10">
        <v>13.027973</v>
      </c>
      <c r="Q31" s="10">
        <v>80.226628</v>
      </c>
      <c r="R31" s="10" t="s">
        <v>55</v>
      </c>
      <c r="S31" s="11" t="s">
        <v>25</v>
      </c>
    </row>
    <row r="32" ht="13.5" customHeight="1" spans="1:19">
      <c r="A32" s="5">
        <v>26</v>
      </c>
      <c r="B32" s="6">
        <v>31</v>
      </c>
      <c r="C32" s="7" t="s">
        <v>19</v>
      </c>
      <c r="D32" s="7" t="s">
        <v>20</v>
      </c>
      <c r="E32" s="8" t="s">
        <v>66</v>
      </c>
      <c r="F32" s="14" t="s">
        <v>70</v>
      </c>
      <c r="G32" s="10">
        <v>1</v>
      </c>
      <c r="H32" s="10">
        <v>25</v>
      </c>
      <c r="I32" s="10">
        <v>20</v>
      </c>
      <c r="J32" s="10" t="s">
        <v>23</v>
      </c>
      <c r="K32" s="10">
        <v>500</v>
      </c>
      <c r="L32" s="10">
        <v>250000</v>
      </c>
      <c r="M32" s="10">
        <f t="shared" si="0"/>
        <v>6000</v>
      </c>
      <c r="N32" s="10">
        <f t="shared" si="5"/>
        <v>2500</v>
      </c>
      <c r="O32" s="10">
        <f t="shared" si="1"/>
        <v>258500</v>
      </c>
      <c r="P32" s="10">
        <v>13.027973</v>
      </c>
      <c r="Q32" s="10">
        <v>80.226628</v>
      </c>
      <c r="R32" s="10" t="s">
        <v>55</v>
      </c>
      <c r="S32" s="11" t="s">
        <v>25</v>
      </c>
    </row>
    <row r="33" customHeight="1" spans="1:19">
      <c r="A33" s="5">
        <v>27</v>
      </c>
      <c r="B33" s="6">
        <v>32</v>
      </c>
      <c r="C33" s="7" t="s">
        <v>19</v>
      </c>
      <c r="D33" s="7" t="s">
        <v>20</v>
      </c>
      <c r="E33" s="8" t="s">
        <v>66</v>
      </c>
      <c r="F33" s="9" t="s">
        <v>71</v>
      </c>
      <c r="G33" s="10">
        <v>1</v>
      </c>
      <c r="H33" s="10">
        <v>25</v>
      </c>
      <c r="I33" s="10">
        <v>25</v>
      </c>
      <c r="J33" s="10" t="s">
        <v>23</v>
      </c>
      <c r="K33" s="10">
        <v>625</v>
      </c>
      <c r="L33" s="10">
        <v>300000</v>
      </c>
      <c r="M33" s="10">
        <f t="shared" si="0"/>
        <v>7500</v>
      </c>
      <c r="N33" s="10">
        <f t="shared" si="5"/>
        <v>3125</v>
      </c>
      <c r="O33" s="10">
        <f t="shared" si="1"/>
        <v>310625</v>
      </c>
      <c r="P33" s="10">
        <v>13.050618</v>
      </c>
      <c r="Q33" s="10">
        <v>80.248828</v>
      </c>
      <c r="R33" s="10" t="s">
        <v>49</v>
      </c>
      <c r="S33" s="11"/>
    </row>
    <row r="34" ht="13.5" customHeight="1" spans="1:19">
      <c r="A34" s="5"/>
      <c r="B34" s="6">
        <v>33</v>
      </c>
      <c r="C34" s="7" t="s">
        <v>19</v>
      </c>
      <c r="D34" s="7" t="s">
        <v>20</v>
      </c>
      <c r="E34" s="8" t="s">
        <v>66</v>
      </c>
      <c r="F34" s="14" t="s">
        <v>72</v>
      </c>
      <c r="G34" s="10">
        <v>1</v>
      </c>
      <c r="H34" s="10">
        <v>27</v>
      </c>
      <c r="I34" s="10">
        <v>17</v>
      </c>
      <c r="J34" s="10" t="s">
        <v>23</v>
      </c>
      <c r="K34" s="10">
        <f>H34*I34</f>
        <v>459</v>
      </c>
      <c r="L34" s="10">
        <v>250000</v>
      </c>
      <c r="M34" s="10">
        <f t="shared" si="0"/>
        <v>5508</v>
      </c>
      <c r="N34" s="10">
        <f t="shared" si="5"/>
        <v>2295</v>
      </c>
      <c r="O34" s="10">
        <f t="shared" si="1"/>
        <v>257803</v>
      </c>
      <c r="P34" s="21">
        <v>13.042411</v>
      </c>
      <c r="Q34" s="21">
        <v>80.232319</v>
      </c>
      <c r="R34" s="10" t="s">
        <v>24</v>
      </c>
      <c r="S34" s="11" t="s">
        <v>25</v>
      </c>
    </row>
    <row r="35" ht="13.5" customHeight="1" spans="1:19">
      <c r="A35" s="5"/>
      <c r="B35" s="6">
        <v>34</v>
      </c>
      <c r="C35" s="7" t="s">
        <v>19</v>
      </c>
      <c r="D35" s="7" t="s">
        <v>20</v>
      </c>
      <c r="E35" s="8" t="s">
        <v>66</v>
      </c>
      <c r="F35" s="14" t="s">
        <v>73</v>
      </c>
      <c r="G35" s="10">
        <v>1</v>
      </c>
      <c r="H35" s="10">
        <v>30</v>
      </c>
      <c r="I35" s="10">
        <v>20</v>
      </c>
      <c r="J35" s="10" t="s">
        <v>23</v>
      </c>
      <c r="K35" s="10">
        <f>H35*I35</f>
        <v>600</v>
      </c>
      <c r="L35" s="10">
        <v>350000</v>
      </c>
      <c r="M35" s="10">
        <f t="shared" si="0"/>
        <v>7200</v>
      </c>
      <c r="N35" s="10">
        <f t="shared" si="5"/>
        <v>3000</v>
      </c>
      <c r="O35" s="10">
        <f t="shared" si="1"/>
        <v>360200</v>
      </c>
      <c r="P35" s="21">
        <v>13.042411</v>
      </c>
      <c r="Q35" s="21">
        <v>80.232319</v>
      </c>
      <c r="R35" s="10" t="s">
        <v>24</v>
      </c>
      <c r="S35" s="11" t="s">
        <v>25</v>
      </c>
    </row>
    <row r="36" ht="13.5" customHeight="1" spans="1:19">
      <c r="A36" s="5">
        <v>28</v>
      </c>
      <c r="B36" s="6">
        <v>35</v>
      </c>
      <c r="C36" s="7" t="s">
        <v>19</v>
      </c>
      <c r="D36" s="7" t="s">
        <v>20</v>
      </c>
      <c r="E36" s="8" t="s">
        <v>74</v>
      </c>
      <c r="F36" s="9" t="s">
        <v>75</v>
      </c>
      <c r="G36" s="10">
        <v>1</v>
      </c>
      <c r="H36" s="10">
        <v>20</v>
      </c>
      <c r="I36" s="10">
        <v>20</v>
      </c>
      <c r="J36" s="10" t="s">
        <v>23</v>
      </c>
      <c r="K36" s="10">
        <f>H36*I36</f>
        <v>400</v>
      </c>
      <c r="L36" s="10">
        <v>150000</v>
      </c>
      <c r="M36" s="10">
        <f t="shared" si="0"/>
        <v>4800</v>
      </c>
      <c r="N36" s="10">
        <f t="shared" si="5"/>
        <v>2000</v>
      </c>
      <c r="O36" s="10">
        <f t="shared" si="1"/>
        <v>156800</v>
      </c>
      <c r="P36" s="10">
        <v>13.059862</v>
      </c>
      <c r="Q36" s="10">
        <v>80.265608</v>
      </c>
      <c r="R36" s="10" t="s">
        <v>49</v>
      </c>
      <c r="S36" s="11"/>
    </row>
    <row r="37" ht="13.5" customHeight="1" spans="1:19">
      <c r="A37" s="5">
        <v>29</v>
      </c>
      <c r="B37" s="6">
        <v>36</v>
      </c>
      <c r="C37" s="7" t="s">
        <v>19</v>
      </c>
      <c r="D37" s="7" t="s">
        <v>20</v>
      </c>
      <c r="E37" s="8" t="s">
        <v>74</v>
      </c>
      <c r="F37" s="9" t="s">
        <v>76</v>
      </c>
      <c r="G37" s="10">
        <v>1</v>
      </c>
      <c r="H37" s="10">
        <v>40</v>
      </c>
      <c r="I37" s="10">
        <v>20</v>
      </c>
      <c r="J37" s="10" t="s">
        <v>23</v>
      </c>
      <c r="K37" s="10">
        <f>H37*I37</f>
        <v>800</v>
      </c>
      <c r="L37" s="10">
        <v>350000</v>
      </c>
      <c r="M37" s="10">
        <f t="shared" si="0"/>
        <v>9600</v>
      </c>
      <c r="N37" s="10">
        <f t="shared" si="5"/>
        <v>4000</v>
      </c>
      <c r="O37" s="10">
        <f t="shared" si="1"/>
        <v>363600</v>
      </c>
      <c r="P37" s="10">
        <v>13.059299</v>
      </c>
      <c r="Q37" s="10">
        <v>80.265552</v>
      </c>
      <c r="R37" s="10" t="s">
        <v>55</v>
      </c>
      <c r="S37" s="11" t="s">
        <v>25</v>
      </c>
    </row>
    <row r="38" ht="13.5" customHeight="1" spans="1:19">
      <c r="A38" s="5">
        <v>30</v>
      </c>
      <c r="B38" s="6">
        <v>37</v>
      </c>
      <c r="C38" s="7" t="s">
        <v>19</v>
      </c>
      <c r="D38" s="7" t="s">
        <v>20</v>
      </c>
      <c r="E38" s="8" t="s">
        <v>74</v>
      </c>
      <c r="F38" s="7" t="s">
        <v>77</v>
      </c>
      <c r="G38" s="10">
        <v>1</v>
      </c>
      <c r="H38" s="10">
        <v>20</v>
      </c>
      <c r="I38" s="10">
        <v>20</v>
      </c>
      <c r="J38" s="10" t="s">
        <v>23</v>
      </c>
      <c r="K38" s="10">
        <v>400</v>
      </c>
      <c r="L38" s="10">
        <v>200000</v>
      </c>
      <c r="M38" s="10">
        <f t="shared" si="0"/>
        <v>4800</v>
      </c>
      <c r="N38" s="10">
        <f t="shared" si="5"/>
        <v>2000</v>
      </c>
      <c r="O38" s="10">
        <f t="shared" si="1"/>
        <v>206800</v>
      </c>
      <c r="P38" s="10">
        <v>13.059299</v>
      </c>
      <c r="Q38" s="10">
        <v>80.265552</v>
      </c>
      <c r="R38" s="10" t="s">
        <v>55</v>
      </c>
      <c r="S38" s="11" t="s">
        <v>25</v>
      </c>
    </row>
    <row r="39" customHeight="1" spans="1:19">
      <c r="A39" s="16" t="s">
        <v>78</v>
      </c>
      <c r="B39" s="6">
        <v>38</v>
      </c>
      <c r="C39" s="7" t="s">
        <v>19</v>
      </c>
      <c r="D39" s="7" t="s">
        <v>20</v>
      </c>
      <c r="E39" s="8" t="s">
        <v>79</v>
      </c>
      <c r="F39" s="7" t="s">
        <v>80</v>
      </c>
      <c r="G39" s="10">
        <v>1</v>
      </c>
      <c r="H39" s="10">
        <v>25</v>
      </c>
      <c r="I39" s="10">
        <v>25</v>
      </c>
      <c r="J39" s="10" t="s">
        <v>23</v>
      </c>
      <c r="K39" s="10">
        <f>H39*I39</f>
        <v>625</v>
      </c>
      <c r="L39" s="10">
        <v>300000</v>
      </c>
      <c r="M39" s="10">
        <f t="shared" si="0"/>
        <v>7500</v>
      </c>
      <c r="N39" s="10">
        <f t="shared" si="5"/>
        <v>3125</v>
      </c>
      <c r="O39" s="10">
        <f t="shared" si="1"/>
        <v>310625</v>
      </c>
      <c r="P39" s="11">
        <v>13.0847278</v>
      </c>
      <c r="Q39" s="11">
        <v>80.2178934</v>
      </c>
      <c r="R39" s="10" t="s">
        <v>55</v>
      </c>
      <c r="S39" s="11" t="s">
        <v>25</v>
      </c>
    </row>
    <row r="40" customHeight="1" spans="1:19">
      <c r="A40" s="5">
        <v>32</v>
      </c>
      <c r="B40" s="6">
        <v>39</v>
      </c>
      <c r="C40" s="7" t="s">
        <v>19</v>
      </c>
      <c r="D40" s="7" t="s">
        <v>20</v>
      </c>
      <c r="E40" s="8" t="s">
        <v>79</v>
      </c>
      <c r="F40" s="7" t="s">
        <v>81</v>
      </c>
      <c r="G40" s="10">
        <v>1</v>
      </c>
      <c r="H40" s="10">
        <v>40</v>
      </c>
      <c r="I40" s="10">
        <v>25</v>
      </c>
      <c r="J40" s="10" t="s">
        <v>23</v>
      </c>
      <c r="K40" s="10">
        <f>H40*I40</f>
        <v>1000</v>
      </c>
      <c r="L40" s="10">
        <v>400000</v>
      </c>
      <c r="M40" s="10">
        <f t="shared" si="0"/>
        <v>12000</v>
      </c>
      <c r="N40" s="10">
        <f t="shared" si="5"/>
        <v>5000</v>
      </c>
      <c r="O40" s="10">
        <f t="shared" si="1"/>
        <v>417000</v>
      </c>
      <c r="P40" s="11">
        <v>13.0847278</v>
      </c>
      <c r="Q40" s="11">
        <v>80.2178934</v>
      </c>
      <c r="R40" s="10" t="s">
        <v>55</v>
      </c>
      <c r="S40" s="11" t="s">
        <v>25</v>
      </c>
    </row>
    <row r="41" customHeight="1" spans="1:19">
      <c r="A41" s="5">
        <v>33</v>
      </c>
      <c r="B41" s="6">
        <v>40</v>
      </c>
      <c r="C41" s="7" t="s">
        <v>19</v>
      </c>
      <c r="D41" s="7" t="s">
        <v>20</v>
      </c>
      <c r="E41" s="8" t="s">
        <v>82</v>
      </c>
      <c r="F41" s="7" t="s">
        <v>83</v>
      </c>
      <c r="G41" s="10">
        <v>1</v>
      </c>
      <c r="H41" s="10">
        <v>20</v>
      </c>
      <c r="I41" s="10">
        <v>25</v>
      </c>
      <c r="J41" s="10" t="s">
        <v>23</v>
      </c>
      <c r="K41" s="10">
        <v>500</v>
      </c>
      <c r="L41" s="10">
        <v>375000</v>
      </c>
      <c r="M41" s="10">
        <f t="shared" si="0"/>
        <v>6000</v>
      </c>
      <c r="N41" s="10">
        <f t="shared" si="5"/>
        <v>2500</v>
      </c>
      <c r="O41" s="10">
        <f t="shared" si="1"/>
        <v>383500</v>
      </c>
      <c r="P41" s="10">
        <v>13.074331</v>
      </c>
      <c r="Q41" s="10">
        <v>80.220579</v>
      </c>
      <c r="R41" s="10" t="s">
        <v>55</v>
      </c>
      <c r="S41" s="11" t="s">
        <v>25</v>
      </c>
    </row>
    <row r="42" customHeight="1" spans="1:19">
      <c r="A42" s="5">
        <v>34</v>
      </c>
      <c r="B42" s="6">
        <v>41</v>
      </c>
      <c r="C42" s="7" t="s">
        <v>19</v>
      </c>
      <c r="D42" s="7" t="s">
        <v>20</v>
      </c>
      <c r="E42" s="8" t="s">
        <v>82</v>
      </c>
      <c r="F42" s="7" t="s">
        <v>84</v>
      </c>
      <c r="G42" s="10">
        <v>1</v>
      </c>
      <c r="H42" s="10">
        <v>25</v>
      </c>
      <c r="I42" s="10">
        <v>25</v>
      </c>
      <c r="J42" s="10" t="s">
        <v>23</v>
      </c>
      <c r="K42" s="10">
        <f>H42*I42</f>
        <v>625</v>
      </c>
      <c r="L42" s="10">
        <v>300000</v>
      </c>
      <c r="M42" s="10">
        <f t="shared" si="0"/>
        <v>7500</v>
      </c>
      <c r="N42" s="10">
        <f t="shared" si="5"/>
        <v>3125</v>
      </c>
      <c r="O42" s="10">
        <f t="shared" si="1"/>
        <v>310625</v>
      </c>
      <c r="P42" s="10">
        <v>13.0749011</v>
      </c>
      <c r="Q42" s="10">
        <v>80.2177579</v>
      </c>
      <c r="R42" s="10" t="s">
        <v>55</v>
      </c>
      <c r="S42" s="11" t="s">
        <v>25</v>
      </c>
    </row>
    <row r="43" customHeight="1" spans="1:19">
      <c r="A43" s="5">
        <v>36</v>
      </c>
      <c r="B43" s="6">
        <v>42</v>
      </c>
      <c r="C43" s="7" t="s">
        <v>19</v>
      </c>
      <c r="D43" s="7" t="s">
        <v>20</v>
      </c>
      <c r="E43" s="8" t="s">
        <v>85</v>
      </c>
      <c r="F43" s="14" t="s">
        <v>86</v>
      </c>
      <c r="G43" s="10">
        <v>1</v>
      </c>
      <c r="H43" s="10">
        <v>30</v>
      </c>
      <c r="I43" s="10">
        <v>20</v>
      </c>
      <c r="J43" s="10" t="s">
        <v>23</v>
      </c>
      <c r="K43" s="10">
        <f>H43*I43</f>
        <v>600</v>
      </c>
      <c r="L43" s="10">
        <v>300000</v>
      </c>
      <c r="M43" s="10">
        <f t="shared" si="0"/>
        <v>7200</v>
      </c>
      <c r="N43" s="10">
        <f t="shared" si="5"/>
        <v>3000</v>
      </c>
      <c r="O43" s="10">
        <f t="shared" si="1"/>
        <v>310200</v>
      </c>
      <c r="P43" s="10">
        <v>13.0760978</v>
      </c>
      <c r="Q43" s="10">
        <v>80.2131551</v>
      </c>
      <c r="R43" s="10" t="s">
        <v>55</v>
      </c>
      <c r="S43" s="11" t="s">
        <v>25</v>
      </c>
    </row>
    <row r="44" customHeight="1" spans="1:19">
      <c r="A44" s="5"/>
      <c r="B44" s="6">
        <v>43</v>
      </c>
      <c r="C44" s="7" t="s">
        <v>19</v>
      </c>
      <c r="D44" s="7" t="s">
        <v>20</v>
      </c>
      <c r="E44" s="8" t="s">
        <v>85</v>
      </c>
      <c r="F44" s="24" t="s">
        <v>87</v>
      </c>
      <c r="G44" s="10">
        <v>1</v>
      </c>
      <c r="H44" s="10">
        <v>35</v>
      </c>
      <c r="I44" s="10">
        <v>25</v>
      </c>
      <c r="J44" s="10" t="s">
        <v>23</v>
      </c>
      <c r="K44" s="10">
        <f>H44*I44</f>
        <v>875</v>
      </c>
      <c r="L44" s="10">
        <v>350000</v>
      </c>
      <c r="M44" s="10">
        <f t="shared" si="0"/>
        <v>10500</v>
      </c>
      <c r="N44" s="10">
        <f t="shared" si="5"/>
        <v>4375</v>
      </c>
      <c r="O44" s="10">
        <f t="shared" si="1"/>
        <v>364875</v>
      </c>
      <c r="P44" s="10">
        <v>13.0767861</v>
      </c>
      <c r="Q44" s="10">
        <v>80.2122121</v>
      </c>
      <c r="R44" s="10" t="s">
        <v>24</v>
      </c>
      <c r="S44" s="11" t="s">
        <v>25</v>
      </c>
    </row>
    <row r="45" customHeight="1" spans="1:19">
      <c r="A45" s="5">
        <v>37</v>
      </c>
      <c r="B45" s="6">
        <v>44</v>
      </c>
      <c r="C45" s="7" t="s">
        <v>19</v>
      </c>
      <c r="D45" s="7" t="s">
        <v>20</v>
      </c>
      <c r="E45" s="8" t="s">
        <v>85</v>
      </c>
      <c r="F45" s="7" t="s">
        <v>88</v>
      </c>
      <c r="G45" s="10">
        <v>1</v>
      </c>
      <c r="H45" s="10">
        <v>45</v>
      </c>
      <c r="I45" s="10">
        <v>25</v>
      </c>
      <c r="J45" s="10" t="s">
        <v>23</v>
      </c>
      <c r="K45" s="10">
        <f>H45*I45</f>
        <v>1125</v>
      </c>
      <c r="L45" s="10">
        <v>475000</v>
      </c>
      <c r="M45" s="10">
        <f t="shared" si="0"/>
        <v>13500</v>
      </c>
      <c r="N45" s="10">
        <f t="shared" si="5"/>
        <v>5625</v>
      </c>
      <c r="O45" s="10">
        <f t="shared" si="1"/>
        <v>494125</v>
      </c>
      <c r="P45" s="10">
        <v>13.0760978</v>
      </c>
      <c r="Q45" s="10">
        <v>80.2131551</v>
      </c>
      <c r="R45" s="10" t="s">
        <v>55</v>
      </c>
      <c r="S45" s="11" t="s">
        <v>25</v>
      </c>
    </row>
    <row r="46" customHeight="1" spans="1:19">
      <c r="A46" s="5">
        <v>39</v>
      </c>
      <c r="B46" s="6">
        <v>45</v>
      </c>
      <c r="C46" s="7" t="s">
        <v>19</v>
      </c>
      <c r="D46" s="7" t="s">
        <v>27</v>
      </c>
      <c r="E46" s="8" t="s">
        <v>89</v>
      </c>
      <c r="F46" s="7" t="s">
        <v>90</v>
      </c>
      <c r="G46" s="10">
        <v>1</v>
      </c>
      <c r="H46" s="10">
        <v>40</v>
      </c>
      <c r="I46" s="10">
        <v>30</v>
      </c>
      <c r="J46" s="10" t="s">
        <v>23</v>
      </c>
      <c r="K46" s="10">
        <v>1200</v>
      </c>
      <c r="L46" s="10">
        <v>350000</v>
      </c>
      <c r="M46" s="10">
        <f t="shared" si="0"/>
        <v>14400</v>
      </c>
      <c r="N46" s="10">
        <f>K46*7</f>
        <v>8400</v>
      </c>
      <c r="O46" s="10">
        <f t="shared" si="1"/>
        <v>372800</v>
      </c>
      <c r="P46" s="10">
        <v>13.0702112</v>
      </c>
      <c r="Q46" s="10">
        <v>80.204642</v>
      </c>
      <c r="R46" s="10" t="s">
        <v>55</v>
      </c>
      <c r="S46" s="11" t="s">
        <v>25</v>
      </c>
    </row>
    <row r="47" customHeight="1" spans="1:19">
      <c r="A47" s="5">
        <v>40</v>
      </c>
      <c r="B47" s="6">
        <v>46</v>
      </c>
      <c r="C47" s="7" t="s">
        <v>19</v>
      </c>
      <c r="D47" s="7" t="s">
        <v>27</v>
      </c>
      <c r="E47" s="8" t="s">
        <v>89</v>
      </c>
      <c r="F47" s="7" t="s">
        <v>91</v>
      </c>
      <c r="G47" s="10">
        <v>1</v>
      </c>
      <c r="H47" s="10">
        <v>40</v>
      </c>
      <c r="I47" s="10">
        <v>30</v>
      </c>
      <c r="J47" s="10" t="s">
        <v>23</v>
      </c>
      <c r="K47" s="10">
        <v>1200</v>
      </c>
      <c r="L47" s="10">
        <v>350000</v>
      </c>
      <c r="M47" s="10">
        <f t="shared" si="0"/>
        <v>14400</v>
      </c>
      <c r="N47" s="10">
        <f>K47*7</f>
        <v>8400</v>
      </c>
      <c r="O47" s="10">
        <f t="shared" si="1"/>
        <v>372800</v>
      </c>
      <c r="P47" s="10">
        <v>13.0702112</v>
      </c>
      <c r="Q47" s="10">
        <v>80.204642</v>
      </c>
      <c r="R47" s="10" t="s">
        <v>55</v>
      </c>
      <c r="S47" s="11" t="s">
        <v>25</v>
      </c>
    </row>
    <row r="48" customHeight="1" spans="1:19">
      <c r="A48" s="5">
        <v>41</v>
      </c>
      <c r="B48" s="6">
        <v>47</v>
      </c>
      <c r="C48" s="7" t="s">
        <v>19</v>
      </c>
      <c r="D48" s="7" t="s">
        <v>27</v>
      </c>
      <c r="E48" s="8" t="s">
        <v>89</v>
      </c>
      <c r="F48" s="7" t="s">
        <v>92</v>
      </c>
      <c r="G48" s="10">
        <v>1</v>
      </c>
      <c r="H48" s="10">
        <v>40</v>
      </c>
      <c r="I48" s="10">
        <v>30</v>
      </c>
      <c r="J48" s="10" t="s">
        <v>23</v>
      </c>
      <c r="K48" s="10">
        <f>H47*I48</f>
        <v>1200</v>
      </c>
      <c r="L48" s="10">
        <v>350000</v>
      </c>
      <c r="M48" s="10">
        <f t="shared" si="0"/>
        <v>14400</v>
      </c>
      <c r="N48" s="10">
        <f>K48*7</f>
        <v>8400</v>
      </c>
      <c r="O48" s="10">
        <f t="shared" si="1"/>
        <v>372800</v>
      </c>
      <c r="P48" s="11">
        <v>13.0740471</v>
      </c>
      <c r="Q48" s="11">
        <v>80.1911227</v>
      </c>
      <c r="R48" s="10" t="s">
        <v>55</v>
      </c>
      <c r="S48" s="11" t="s">
        <v>25</v>
      </c>
    </row>
    <row r="49" ht="13.5" customHeight="1" spans="1:19">
      <c r="A49" s="5"/>
      <c r="B49" s="6">
        <v>48</v>
      </c>
      <c r="C49" s="7" t="s">
        <v>19</v>
      </c>
      <c r="D49" s="7" t="s">
        <v>20</v>
      </c>
      <c r="E49" s="8" t="s">
        <v>93</v>
      </c>
      <c r="F49" s="7" t="s">
        <v>94</v>
      </c>
      <c r="G49" s="10">
        <v>1</v>
      </c>
      <c r="H49" s="10">
        <v>35</v>
      </c>
      <c r="I49" s="10">
        <v>25</v>
      </c>
      <c r="J49" s="10" t="s">
        <v>23</v>
      </c>
      <c r="K49" s="10">
        <f>H49*I49</f>
        <v>875</v>
      </c>
      <c r="L49" s="10">
        <v>325000</v>
      </c>
      <c r="M49" s="10">
        <f t="shared" si="0"/>
        <v>10500</v>
      </c>
      <c r="N49" s="10">
        <f>K49*5</f>
        <v>4375</v>
      </c>
      <c r="O49" s="10">
        <f t="shared" si="1"/>
        <v>339875</v>
      </c>
      <c r="P49" s="10">
        <v>13.067146</v>
      </c>
      <c r="Q49" s="10">
        <v>80.243077</v>
      </c>
      <c r="R49" s="10" t="s">
        <v>24</v>
      </c>
      <c r="S49" s="11" t="s">
        <v>25</v>
      </c>
    </row>
    <row r="50" ht="13.5" customHeight="1" spans="1:19">
      <c r="A50" s="5"/>
      <c r="B50" s="6">
        <v>49</v>
      </c>
      <c r="C50" s="7" t="s">
        <v>19</v>
      </c>
      <c r="D50" s="7" t="s">
        <v>20</v>
      </c>
      <c r="E50" s="8" t="s">
        <v>93</v>
      </c>
      <c r="F50" s="7" t="s">
        <v>95</v>
      </c>
      <c r="G50" s="10">
        <v>1</v>
      </c>
      <c r="H50" s="10">
        <v>20</v>
      </c>
      <c r="I50" s="10">
        <v>25</v>
      </c>
      <c r="J50" s="10" t="s">
        <v>23</v>
      </c>
      <c r="K50" s="10">
        <f>H50*I50</f>
        <v>500</v>
      </c>
      <c r="L50" s="10">
        <v>275000</v>
      </c>
      <c r="M50" s="10">
        <f t="shared" si="0"/>
        <v>6000</v>
      </c>
      <c r="N50" s="10">
        <f>K50*5</f>
        <v>2500</v>
      </c>
      <c r="O50" s="10">
        <f t="shared" si="1"/>
        <v>283500</v>
      </c>
      <c r="P50" s="10">
        <v>13.067146</v>
      </c>
      <c r="Q50" s="10">
        <v>80.243077</v>
      </c>
      <c r="R50" s="10" t="s">
        <v>24</v>
      </c>
      <c r="S50" s="11" t="s">
        <v>25</v>
      </c>
    </row>
    <row r="51" ht="13.5" customHeight="1" spans="1:19">
      <c r="A51" s="5">
        <v>42</v>
      </c>
      <c r="B51" s="6">
        <v>50</v>
      </c>
      <c r="C51" s="7" t="s">
        <v>19</v>
      </c>
      <c r="D51" s="7" t="s">
        <v>20</v>
      </c>
      <c r="E51" s="8" t="s">
        <v>96</v>
      </c>
      <c r="F51" s="7" t="s">
        <v>97</v>
      </c>
      <c r="G51" s="10">
        <v>1</v>
      </c>
      <c r="H51" s="10">
        <v>25</v>
      </c>
      <c r="I51" s="10">
        <v>30</v>
      </c>
      <c r="J51" s="10" t="s">
        <v>23</v>
      </c>
      <c r="K51" s="10">
        <v>750</v>
      </c>
      <c r="L51" s="10">
        <v>140000</v>
      </c>
      <c r="M51" s="10">
        <f t="shared" si="0"/>
        <v>9000</v>
      </c>
      <c r="N51" s="10">
        <f>K51*5</f>
        <v>3750</v>
      </c>
      <c r="O51" s="10">
        <f t="shared" si="1"/>
        <v>152750</v>
      </c>
      <c r="P51" s="10">
        <v>13.0587694</v>
      </c>
      <c r="Q51" s="10">
        <v>80.113747</v>
      </c>
      <c r="R51" s="10" t="s">
        <v>49</v>
      </c>
      <c r="S51" s="11"/>
    </row>
    <row r="52" ht="13.5" customHeight="1" spans="1:19">
      <c r="A52" s="5"/>
      <c r="B52" s="6">
        <v>51</v>
      </c>
      <c r="C52" s="7" t="s">
        <v>19</v>
      </c>
      <c r="D52" s="7" t="s">
        <v>20</v>
      </c>
      <c r="E52" s="25" t="s">
        <v>98</v>
      </c>
      <c r="F52" s="26" t="s">
        <v>99</v>
      </c>
      <c r="G52" s="11">
        <v>1</v>
      </c>
      <c r="H52" s="11">
        <v>25</v>
      </c>
      <c r="I52" s="11">
        <v>25</v>
      </c>
      <c r="J52" s="10" t="s">
        <v>38</v>
      </c>
      <c r="K52" s="10">
        <f>H52*I52</f>
        <v>625</v>
      </c>
      <c r="L52" s="11">
        <v>375000</v>
      </c>
      <c r="M52" s="10">
        <f t="shared" si="0"/>
        <v>7500</v>
      </c>
      <c r="N52" s="10">
        <f>K52*5</f>
        <v>3125</v>
      </c>
      <c r="O52" s="10">
        <f t="shared" si="1"/>
        <v>385625</v>
      </c>
      <c r="P52" s="10">
        <v>13.073969</v>
      </c>
      <c r="Q52" s="10">
        <v>80.225606</v>
      </c>
      <c r="R52" s="10"/>
      <c r="S52" s="10"/>
    </row>
    <row r="53" ht="13.5" customHeight="1" spans="1:19">
      <c r="A53" s="5">
        <v>45</v>
      </c>
      <c r="B53" s="6">
        <v>52</v>
      </c>
      <c r="C53" s="7" t="s">
        <v>19</v>
      </c>
      <c r="D53" s="26" t="s">
        <v>27</v>
      </c>
      <c r="E53" s="25" t="s">
        <v>100</v>
      </c>
      <c r="F53" s="27" t="s">
        <v>101</v>
      </c>
      <c r="G53" s="11">
        <v>1</v>
      </c>
      <c r="H53" s="11">
        <v>30</v>
      </c>
      <c r="I53" s="11">
        <v>30</v>
      </c>
      <c r="J53" s="11" t="s">
        <v>23</v>
      </c>
      <c r="K53" s="11">
        <f>H53*I53</f>
        <v>900</v>
      </c>
      <c r="L53" s="11">
        <v>125000</v>
      </c>
      <c r="M53" s="10">
        <f t="shared" si="0"/>
        <v>10800</v>
      </c>
      <c r="N53" s="10">
        <f>K53*7</f>
        <v>6300</v>
      </c>
      <c r="O53" s="10">
        <f t="shared" si="1"/>
        <v>142100</v>
      </c>
      <c r="P53" s="10">
        <v>13.0608759</v>
      </c>
      <c r="Q53" s="10">
        <v>80.1534447</v>
      </c>
      <c r="R53" s="10" t="s">
        <v>24</v>
      </c>
      <c r="S53" s="11" t="s">
        <v>25</v>
      </c>
    </row>
    <row r="54" ht="13.5" customHeight="1" spans="1:19">
      <c r="A54" s="5">
        <v>46</v>
      </c>
      <c r="B54" s="6">
        <v>53</v>
      </c>
      <c r="C54" s="7" t="s">
        <v>19</v>
      </c>
      <c r="D54" s="26" t="s">
        <v>27</v>
      </c>
      <c r="E54" s="25" t="s">
        <v>100</v>
      </c>
      <c r="F54" s="26" t="s">
        <v>102</v>
      </c>
      <c r="G54" s="11">
        <v>1</v>
      </c>
      <c r="H54" s="11">
        <v>30</v>
      </c>
      <c r="I54" s="11">
        <v>30</v>
      </c>
      <c r="J54" s="11" t="s">
        <v>23</v>
      </c>
      <c r="K54" s="11">
        <f>H54*I54</f>
        <v>900</v>
      </c>
      <c r="L54" s="11">
        <v>125000</v>
      </c>
      <c r="M54" s="10">
        <f t="shared" si="0"/>
        <v>10800</v>
      </c>
      <c r="N54" s="10">
        <f>K54*7</f>
        <v>6300</v>
      </c>
      <c r="O54" s="10">
        <f t="shared" si="1"/>
        <v>142100</v>
      </c>
      <c r="P54" s="10">
        <v>13.0608759</v>
      </c>
      <c r="Q54" s="10">
        <v>80.1534447</v>
      </c>
      <c r="R54" s="10" t="s">
        <v>24</v>
      </c>
      <c r="S54" s="11" t="s">
        <v>25</v>
      </c>
    </row>
    <row r="55" ht="13.5" customHeight="1" spans="1:19">
      <c r="A55" s="16"/>
      <c r="B55" s="6">
        <v>54</v>
      </c>
      <c r="C55" s="7" t="s">
        <v>19</v>
      </c>
      <c r="D55" s="26" t="s">
        <v>27</v>
      </c>
      <c r="E55" s="8" t="s">
        <v>103</v>
      </c>
      <c r="F55" s="7" t="s">
        <v>104</v>
      </c>
      <c r="G55" s="10">
        <v>1</v>
      </c>
      <c r="H55" s="10">
        <v>30</v>
      </c>
      <c r="I55" s="10">
        <v>30</v>
      </c>
      <c r="J55" s="11" t="s">
        <v>23</v>
      </c>
      <c r="K55" s="11">
        <f>H55*I55</f>
        <v>900</v>
      </c>
      <c r="L55" s="10">
        <v>400000</v>
      </c>
      <c r="M55" s="10">
        <f t="shared" si="0"/>
        <v>10800</v>
      </c>
      <c r="N55" s="10">
        <f>K55*7</f>
        <v>6300</v>
      </c>
      <c r="O55" s="10">
        <f t="shared" si="1"/>
        <v>417100</v>
      </c>
      <c r="P55" s="10">
        <v>13.075831</v>
      </c>
      <c r="Q55" s="10">
        <v>80.234477</v>
      </c>
      <c r="R55" s="10" t="s">
        <v>24</v>
      </c>
      <c r="S55" s="11" t="s">
        <v>25</v>
      </c>
    </row>
    <row r="56" ht="13.5" customHeight="1" spans="1:19">
      <c r="A56" s="5"/>
      <c r="B56" s="6">
        <v>55</v>
      </c>
      <c r="C56" s="7" t="s">
        <v>19</v>
      </c>
      <c r="D56" s="26" t="s">
        <v>27</v>
      </c>
      <c r="E56" s="8" t="s">
        <v>103</v>
      </c>
      <c r="F56" s="7" t="s">
        <v>105</v>
      </c>
      <c r="G56" s="10">
        <v>1</v>
      </c>
      <c r="H56" s="10">
        <v>30</v>
      </c>
      <c r="I56" s="10">
        <v>30</v>
      </c>
      <c r="J56" s="11" t="s">
        <v>23</v>
      </c>
      <c r="K56" s="11">
        <f>H56*I56</f>
        <v>900</v>
      </c>
      <c r="L56" s="10">
        <v>400000</v>
      </c>
      <c r="M56" s="10">
        <f t="shared" si="0"/>
        <v>10800</v>
      </c>
      <c r="N56" s="10">
        <f>K56*7</f>
        <v>6300</v>
      </c>
      <c r="O56" s="10">
        <f t="shared" si="1"/>
        <v>417100</v>
      </c>
      <c r="P56" s="10">
        <v>13.075831</v>
      </c>
      <c r="Q56" s="10">
        <v>80.234477</v>
      </c>
      <c r="R56" s="10" t="s">
        <v>24</v>
      </c>
      <c r="S56" s="11" t="s">
        <v>25</v>
      </c>
    </row>
    <row r="57" ht="13.5" customHeight="1" spans="1:19">
      <c r="A57" s="5">
        <v>47</v>
      </c>
      <c r="B57" s="6">
        <v>56</v>
      </c>
      <c r="C57" s="7" t="s">
        <v>19</v>
      </c>
      <c r="D57" s="7" t="s">
        <v>20</v>
      </c>
      <c r="E57" s="8" t="s">
        <v>106</v>
      </c>
      <c r="F57" s="7" t="s">
        <v>107</v>
      </c>
      <c r="G57" s="10">
        <v>1</v>
      </c>
      <c r="H57" s="10">
        <v>25</v>
      </c>
      <c r="I57" s="10">
        <v>20</v>
      </c>
      <c r="J57" s="10" t="s">
        <v>38</v>
      </c>
      <c r="K57" s="10">
        <v>500</v>
      </c>
      <c r="L57" s="10">
        <v>75000</v>
      </c>
      <c r="M57" s="10">
        <f t="shared" si="0"/>
        <v>6000</v>
      </c>
      <c r="N57" s="10">
        <f>K57*5</f>
        <v>2500</v>
      </c>
      <c r="O57" s="10">
        <f t="shared" si="1"/>
        <v>83500</v>
      </c>
      <c r="P57" s="10">
        <v>13.0553968</v>
      </c>
      <c r="Q57" s="10">
        <v>80.056445</v>
      </c>
      <c r="R57" s="10"/>
      <c r="S57" s="11"/>
    </row>
    <row r="58" ht="13.5" customHeight="1" spans="1:19">
      <c r="A58" s="5">
        <v>48</v>
      </c>
      <c r="B58" s="6">
        <v>57</v>
      </c>
      <c r="C58" s="7" t="s">
        <v>19</v>
      </c>
      <c r="D58" s="26" t="s">
        <v>27</v>
      </c>
      <c r="E58" s="25" t="s">
        <v>106</v>
      </c>
      <c r="F58" s="26" t="s">
        <v>108</v>
      </c>
      <c r="G58" s="11">
        <v>1</v>
      </c>
      <c r="H58" s="11">
        <v>40</v>
      </c>
      <c r="I58" s="11">
        <v>25</v>
      </c>
      <c r="J58" s="11" t="s">
        <v>38</v>
      </c>
      <c r="K58" s="11">
        <f>H58*I58</f>
        <v>1000</v>
      </c>
      <c r="L58" s="11">
        <v>100000</v>
      </c>
      <c r="M58" s="10">
        <f t="shared" si="0"/>
        <v>12000</v>
      </c>
      <c r="N58" s="10">
        <f>K58*7</f>
        <v>7000</v>
      </c>
      <c r="O58" s="10">
        <f t="shared" si="1"/>
        <v>119000</v>
      </c>
      <c r="P58" s="10">
        <v>13.0413496</v>
      </c>
      <c r="Q58" s="10">
        <v>80.059286</v>
      </c>
      <c r="R58" s="10"/>
      <c r="S58" s="10"/>
    </row>
    <row r="59" ht="13.5" customHeight="1" spans="1:19">
      <c r="A59" s="5">
        <v>49</v>
      </c>
      <c r="B59" s="6">
        <v>58</v>
      </c>
      <c r="C59" s="7" t="s">
        <v>19</v>
      </c>
      <c r="D59" s="26" t="s">
        <v>27</v>
      </c>
      <c r="E59" s="25" t="s">
        <v>106</v>
      </c>
      <c r="F59" s="27" t="s">
        <v>109</v>
      </c>
      <c r="G59" s="11">
        <v>1</v>
      </c>
      <c r="H59" s="11">
        <v>40</v>
      </c>
      <c r="I59" s="11">
        <v>25</v>
      </c>
      <c r="J59" s="11" t="s">
        <v>38</v>
      </c>
      <c r="K59" s="11">
        <f>H59*I59</f>
        <v>1000</v>
      </c>
      <c r="L59" s="11">
        <v>100000</v>
      </c>
      <c r="M59" s="10">
        <f t="shared" si="0"/>
        <v>12000</v>
      </c>
      <c r="N59" s="10">
        <f>K59*7</f>
        <v>7000</v>
      </c>
      <c r="O59" s="10">
        <f t="shared" si="1"/>
        <v>119000</v>
      </c>
      <c r="P59" s="10">
        <v>13.0413496</v>
      </c>
      <c r="Q59" s="10">
        <v>80.059286</v>
      </c>
      <c r="R59" s="10"/>
      <c r="S59" s="10"/>
    </row>
    <row r="60" ht="13.5" customHeight="1" spans="1:19">
      <c r="A60" s="5">
        <v>50</v>
      </c>
      <c r="B60" s="6">
        <v>59</v>
      </c>
      <c r="C60" s="7" t="s">
        <v>19</v>
      </c>
      <c r="D60" s="26" t="s">
        <v>27</v>
      </c>
      <c r="E60" s="25" t="s">
        <v>106</v>
      </c>
      <c r="F60" s="26" t="s">
        <v>110</v>
      </c>
      <c r="G60" s="11">
        <v>1</v>
      </c>
      <c r="H60" s="11">
        <v>40</v>
      </c>
      <c r="I60" s="11">
        <v>25</v>
      </c>
      <c r="J60" s="11" t="s">
        <v>38</v>
      </c>
      <c r="K60" s="11">
        <f>H60*I60</f>
        <v>1000</v>
      </c>
      <c r="L60" s="11">
        <v>100000</v>
      </c>
      <c r="M60" s="10">
        <f t="shared" si="0"/>
        <v>12000</v>
      </c>
      <c r="N60" s="10">
        <f>K60*7</f>
        <v>7000</v>
      </c>
      <c r="O60" s="10">
        <f t="shared" si="1"/>
        <v>119000</v>
      </c>
      <c r="P60" s="22">
        <v>13.0498489</v>
      </c>
      <c r="Q60" s="22">
        <v>80.0662244</v>
      </c>
      <c r="R60" s="10"/>
      <c r="S60" s="10"/>
    </row>
    <row r="61" ht="13.5" customHeight="1" spans="1:19">
      <c r="A61" s="5">
        <v>51</v>
      </c>
      <c r="B61" s="6">
        <v>60</v>
      </c>
      <c r="C61" s="7" t="s">
        <v>19</v>
      </c>
      <c r="D61" s="26" t="s">
        <v>27</v>
      </c>
      <c r="E61" s="25" t="s">
        <v>106</v>
      </c>
      <c r="F61" s="26" t="s">
        <v>111</v>
      </c>
      <c r="G61" s="11">
        <v>1</v>
      </c>
      <c r="H61" s="11">
        <v>40</v>
      </c>
      <c r="I61" s="11">
        <v>25</v>
      </c>
      <c r="J61" s="11" t="s">
        <v>38</v>
      </c>
      <c r="K61" s="11">
        <f>H61*I61</f>
        <v>1000</v>
      </c>
      <c r="L61" s="11">
        <v>100000</v>
      </c>
      <c r="M61" s="10">
        <f t="shared" si="0"/>
        <v>12000</v>
      </c>
      <c r="N61" s="10">
        <f>K61*7</f>
        <v>7000</v>
      </c>
      <c r="O61" s="10">
        <f t="shared" si="1"/>
        <v>119000</v>
      </c>
      <c r="P61" s="22">
        <v>13.0498489</v>
      </c>
      <c r="Q61" s="22">
        <v>80.0662244</v>
      </c>
      <c r="R61" s="10"/>
      <c r="S61" s="10"/>
    </row>
    <row r="62" customHeight="1" spans="1:19">
      <c r="A62" s="5">
        <v>52</v>
      </c>
      <c r="B62" s="6">
        <v>61</v>
      </c>
      <c r="C62" s="7" t="s">
        <v>19</v>
      </c>
      <c r="D62" s="7" t="s">
        <v>20</v>
      </c>
      <c r="E62" s="8" t="s">
        <v>112</v>
      </c>
      <c r="F62" s="9" t="s">
        <v>113</v>
      </c>
      <c r="G62" s="10">
        <v>1</v>
      </c>
      <c r="H62" s="10">
        <v>25</v>
      </c>
      <c r="I62" s="10">
        <v>20</v>
      </c>
      <c r="J62" s="10" t="s">
        <v>23</v>
      </c>
      <c r="K62" s="10">
        <v>500</v>
      </c>
      <c r="L62" s="10">
        <v>300000</v>
      </c>
      <c r="M62" s="10">
        <f t="shared" si="0"/>
        <v>6000</v>
      </c>
      <c r="N62" s="10">
        <f>K62*5</f>
        <v>2500</v>
      </c>
      <c r="O62" s="10">
        <f t="shared" si="1"/>
        <v>308500</v>
      </c>
      <c r="P62" s="10">
        <v>13.066995</v>
      </c>
      <c r="Q62" s="10">
        <v>80.228081</v>
      </c>
      <c r="R62" s="10" t="s">
        <v>55</v>
      </c>
      <c r="S62" s="11" t="s">
        <v>25</v>
      </c>
    </row>
    <row r="63" customHeight="1" spans="1:19">
      <c r="A63" s="5">
        <v>53</v>
      </c>
      <c r="B63" s="6">
        <v>62</v>
      </c>
      <c r="C63" s="7" t="s">
        <v>19</v>
      </c>
      <c r="D63" s="7" t="s">
        <v>20</v>
      </c>
      <c r="E63" s="8" t="s">
        <v>112</v>
      </c>
      <c r="F63" s="7" t="s">
        <v>114</v>
      </c>
      <c r="G63" s="10">
        <v>1</v>
      </c>
      <c r="H63" s="10">
        <v>20</v>
      </c>
      <c r="I63" s="10">
        <v>25</v>
      </c>
      <c r="J63" s="10" t="s">
        <v>38</v>
      </c>
      <c r="K63" s="10">
        <f>H63*I63</f>
        <v>500</v>
      </c>
      <c r="L63" s="10">
        <v>225000</v>
      </c>
      <c r="M63" s="10">
        <f t="shared" si="0"/>
        <v>6000</v>
      </c>
      <c r="N63" s="10">
        <f>K63*5</f>
        <v>2500</v>
      </c>
      <c r="O63" s="10">
        <f t="shared" si="1"/>
        <v>233500</v>
      </c>
      <c r="P63" s="10">
        <v>13.067092</v>
      </c>
      <c r="Q63" s="10">
        <v>80.227922</v>
      </c>
      <c r="R63" s="28"/>
      <c r="S63" s="11"/>
    </row>
    <row r="64" customHeight="1" spans="1:19">
      <c r="A64" s="5">
        <v>54</v>
      </c>
      <c r="B64" s="6">
        <v>63</v>
      </c>
      <c r="C64" s="7" t="s">
        <v>19</v>
      </c>
      <c r="D64" s="7" t="s">
        <v>20</v>
      </c>
      <c r="E64" s="8" t="s">
        <v>112</v>
      </c>
      <c r="F64" s="7" t="s">
        <v>115</v>
      </c>
      <c r="G64" s="10">
        <v>1</v>
      </c>
      <c r="H64" s="10">
        <v>30</v>
      </c>
      <c r="I64" s="10">
        <v>15</v>
      </c>
      <c r="J64" s="10" t="s">
        <v>23</v>
      </c>
      <c r="K64" s="10">
        <v>450</v>
      </c>
      <c r="L64" s="10">
        <v>350000</v>
      </c>
      <c r="M64" s="10">
        <f t="shared" si="0"/>
        <v>5400</v>
      </c>
      <c r="N64" s="10">
        <f>K64*5</f>
        <v>2250</v>
      </c>
      <c r="O64" s="10">
        <f t="shared" si="1"/>
        <v>357650</v>
      </c>
      <c r="P64" s="10">
        <v>13.0663778</v>
      </c>
      <c r="Q64" s="10">
        <v>80.2316109</v>
      </c>
      <c r="R64" s="10" t="s">
        <v>55</v>
      </c>
      <c r="S64" s="11" t="s">
        <v>25</v>
      </c>
    </row>
    <row r="65" ht="13.5" customHeight="1" spans="1:19">
      <c r="A65" s="5"/>
      <c r="B65" s="6">
        <v>64</v>
      </c>
      <c r="C65" s="7" t="s">
        <v>19</v>
      </c>
      <c r="D65" s="7" t="s">
        <v>27</v>
      </c>
      <c r="E65" s="8" t="s">
        <v>116</v>
      </c>
      <c r="F65" s="7" t="s">
        <v>117</v>
      </c>
      <c r="G65" s="10">
        <v>1</v>
      </c>
      <c r="H65" s="10">
        <v>30</v>
      </c>
      <c r="I65" s="10">
        <v>23</v>
      </c>
      <c r="J65" s="10" t="s">
        <v>23</v>
      </c>
      <c r="K65" s="10">
        <f>H65*I65</f>
        <v>690</v>
      </c>
      <c r="L65" s="10">
        <v>625000</v>
      </c>
      <c r="M65" s="10">
        <f t="shared" si="0"/>
        <v>8280</v>
      </c>
      <c r="N65" s="10">
        <f>K65*7</f>
        <v>4830</v>
      </c>
      <c r="O65" s="10">
        <f t="shared" si="1"/>
        <v>638110</v>
      </c>
      <c r="P65" s="10">
        <v>13.053545</v>
      </c>
      <c r="Q65" s="10">
        <v>80.25034</v>
      </c>
      <c r="R65" s="10" t="s">
        <v>24</v>
      </c>
      <c r="S65" s="11" t="s">
        <v>25</v>
      </c>
    </row>
    <row r="66" ht="13.5" customHeight="1" spans="1:19">
      <c r="A66" s="5">
        <v>55</v>
      </c>
      <c r="B66" s="6">
        <v>65</v>
      </c>
      <c r="C66" s="7" t="s">
        <v>19</v>
      </c>
      <c r="D66" s="7" t="s">
        <v>20</v>
      </c>
      <c r="E66" s="8" t="s">
        <v>116</v>
      </c>
      <c r="F66" s="9" t="s">
        <v>118</v>
      </c>
      <c r="G66" s="10">
        <v>1</v>
      </c>
      <c r="H66" s="10">
        <v>20</v>
      </c>
      <c r="I66" s="10">
        <v>25</v>
      </c>
      <c r="J66" s="10" t="s">
        <v>23</v>
      </c>
      <c r="K66" s="10">
        <v>500</v>
      </c>
      <c r="L66" s="10">
        <v>300000</v>
      </c>
      <c r="M66" s="10">
        <f t="shared" ref="M66:M73" si="6">K66*12</f>
        <v>6000</v>
      </c>
      <c r="N66" s="10">
        <f t="shared" ref="N66:N73" si="7">K66*5</f>
        <v>2500</v>
      </c>
      <c r="O66" s="10">
        <f t="shared" ref="O66:O129" si="8">SUM(L66:N66)</f>
        <v>308500</v>
      </c>
      <c r="P66" s="10">
        <v>13.053662</v>
      </c>
      <c r="Q66" s="10">
        <v>80.249944</v>
      </c>
      <c r="R66" s="10" t="s">
        <v>55</v>
      </c>
      <c r="S66" s="11" t="s">
        <v>25</v>
      </c>
    </row>
    <row r="67" customHeight="1" spans="1:19">
      <c r="A67" s="5">
        <v>56</v>
      </c>
      <c r="B67" s="6">
        <v>66</v>
      </c>
      <c r="C67" s="7" t="s">
        <v>19</v>
      </c>
      <c r="D67" s="7" t="s">
        <v>20</v>
      </c>
      <c r="E67" s="8" t="s">
        <v>119</v>
      </c>
      <c r="F67" s="7" t="s">
        <v>120</v>
      </c>
      <c r="G67" s="10">
        <v>1</v>
      </c>
      <c r="H67" s="10">
        <v>25</v>
      </c>
      <c r="I67" s="10">
        <v>20</v>
      </c>
      <c r="J67" s="10" t="s">
        <v>23</v>
      </c>
      <c r="K67" s="10">
        <v>500</v>
      </c>
      <c r="L67" s="10">
        <v>250000</v>
      </c>
      <c r="M67" s="10">
        <f t="shared" si="6"/>
        <v>6000</v>
      </c>
      <c r="N67" s="10">
        <f t="shared" si="7"/>
        <v>2500</v>
      </c>
      <c r="O67" s="10">
        <f t="shared" si="8"/>
        <v>258500</v>
      </c>
      <c r="P67" s="10">
        <v>13.0541524</v>
      </c>
      <c r="Q67" s="10">
        <v>80.22908</v>
      </c>
      <c r="R67" s="10" t="s">
        <v>55</v>
      </c>
      <c r="S67" s="11" t="s">
        <v>25</v>
      </c>
    </row>
    <row r="68" customHeight="1" spans="1:19">
      <c r="A68" s="5">
        <v>57</v>
      </c>
      <c r="B68" s="6">
        <v>67</v>
      </c>
      <c r="C68" s="7" t="s">
        <v>19</v>
      </c>
      <c r="D68" s="7" t="s">
        <v>20</v>
      </c>
      <c r="E68" s="8" t="s">
        <v>119</v>
      </c>
      <c r="F68" s="7" t="s">
        <v>121</v>
      </c>
      <c r="G68" s="10">
        <v>1</v>
      </c>
      <c r="H68" s="10">
        <v>25</v>
      </c>
      <c r="I68" s="10">
        <v>25</v>
      </c>
      <c r="J68" s="10" t="s">
        <v>23</v>
      </c>
      <c r="K68" s="10">
        <v>625</v>
      </c>
      <c r="L68" s="10">
        <v>300000</v>
      </c>
      <c r="M68" s="10">
        <f t="shared" si="6"/>
        <v>7500</v>
      </c>
      <c r="N68" s="10">
        <f t="shared" si="7"/>
        <v>3125</v>
      </c>
      <c r="O68" s="10">
        <f t="shared" si="8"/>
        <v>310625</v>
      </c>
      <c r="P68" s="10">
        <v>13.05406</v>
      </c>
      <c r="Q68" s="10">
        <v>80.228292</v>
      </c>
      <c r="R68" s="10" t="s">
        <v>55</v>
      </c>
      <c r="S68" s="11" t="s">
        <v>25</v>
      </c>
    </row>
    <row r="69" customHeight="1" spans="1:19">
      <c r="A69" s="5"/>
      <c r="B69" s="6">
        <v>68</v>
      </c>
      <c r="C69" s="7" t="s">
        <v>19</v>
      </c>
      <c r="D69" s="7" t="s">
        <v>20</v>
      </c>
      <c r="E69" s="8" t="s">
        <v>122</v>
      </c>
      <c r="F69" s="7" t="s">
        <v>123</v>
      </c>
      <c r="G69" s="10">
        <v>1</v>
      </c>
      <c r="H69" s="10">
        <v>35</v>
      </c>
      <c r="I69" s="10">
        <v>25</v>
      </c>
      <c r="J69" s="10" t="s">
        <v>23</v>
      </c>
      <c r="K69" s="10">
        <f>H69*I69</f>
        <v>875</v>
      </c>
      <c r="L69" s="10">
        <v>375000</v>
      </c>
      <c r="M69" s="10">
        <f t="shared" si="6"/>
        <v>10500</v>
      </c>
      <c r="N69" s="10">
        <f t="shared" si="7"/>
        <v>4375</v>
      </c>
      <c r="O69" s="10">
        <f t="shared" si="8"/>
        <v>389875</v>
      </c>
      <c r="P69" s="11">
        <v>13.053139</v>
      </c>
      <c r="Q69" s="11">
        <v>80.1807078</v>
      </c>
      <c r="R69" s="10" t="s">
        <v>24</v>
      </c>
      <c r="S69" s="11" t="s">
        <v>25</v>
      </c>
    </row>
    <row r="70" customHeight="1" spans="1:19">
      <c r="A70" s="5">
        <v>58</v>
      </c>
      <c r="B70" s="6">
        <v>69</v>
      </c>
      <c r="C70" s="7" t="s">
        <v>19</v>
      </c>
      <c r="D70" s="7" t="s">
        <v>20</v>
      </c>
      <c r="E70" s="8" t="s">
        <v>124</v>
      </c>
      <c r="F70" s="7" t="s">
        <v>125</v>
      </c>
      <c r="G70" s="10">
        <v>1</v>
      </c>
      <c r="H70" s="10">
        <v>25</v>
      </c>
      <c r="I70" s="10">
        <v>30</v>
      </c>
      <c r="J70" s="10" t="s">
        <v>23</v>
      </c>
      <c r="K70" s="10">
        <f>H70*I70</f>
        <v>750</v>
      </c>
      <c r="L70" s="10">
        <v>350000</v>
      </c>
      <c r="M70" s="10">
        <f t="shared" si="6"/>
        <v>9000</v>
      </c>
      <c r="N70" s="10">
        <f t="shared" si="7"/>
        <v>3750</v>
      </c>
      <c r="O70" s="10">
        <f t="shared" si="8"/>
        <v>362750</v>
      </c>
      <c r="P70" s="11">
        <v>13.046519</v>
      </c>
      <c r="Q70" s="11">
        <v>80.191248</v>
      </c>
      <c r="R70" s="10" t="s">
        <v>55</v>
      </c>
      <c r="S70" s="29" t="s">
        <v>25</v>
      </c>
    </row>
    <row r="71" customHeight="1" spans="1:19">
      <c r="A71" s="5"/>
      <c r="B71" s="6">
        <v>70</v>
      </c>
      <c r="C71" s="7" t="s">
        <v>19</v>
      </c>
      <c r="D71" s="7" t="s">
        <v>20</v>
      </c>
      <c r="E71" s="8" t="s">
        <v>124</v>
      </c>
      <c r="F71" s="9" t="s">
        <v>126</v>
      </c>
      <c r="G71" s="10">
        <v>1</v>
      </c>
      <c r="H71" s="10">
        <v>30</v>
      </c>
      <c r="I71" s="10">
        <v>25</v>
      </c>
      <c r="J71" s="10" t="s">
        <v>23</v>
      </c>
      <c r="K71" s="10">
        <f>H71*I71</f>
        <v>750</v>
      </c>
      <c r="L71" s="10">
        <v>250000</v>
      </c>
      <c r="M71" s="10">
        <f t="shared" si="6"/>
        <v>9000</v>
      </c>
      <c r="N71" s="10">
        <f t="shared" si="7"/>
        <v>3750</v>
      </c>
      <c r="O71" s="10">
        <f t="shared" si="8"/>
        <v>262750</v>
      </c>
      <c r="P71" s="11">
        <v>13.046498</v>
      </c>
      <c r="Q71" s="11">
        <v>80.191589</v>
      </c>
      <c r="R71" s="10" t="s">
        <v>24</v>
      </c>
      <c r="S71" s="11" t="s">
        <v>25</v>
      </c>
    </row>
    <row r="72" customHeight="1" spans="1:19">
      <c r="A72" s="5"/>
      <c r="B72" s="6">
        <v>71</v>
      </c>
      <c r="C72" s="7" t="s">
        <v>19</v>
      </c>
      <c r="D72" s="7" t="s">
        <v>20</v>
      </c>
      <c r="E72" s="8" t="s">
        <v>127</v>
      </c>
      <c r="F72" s="9" t="s">
        <v>128</v>
      </c>
      <c r="G72" s="10">
        <v>1</v>
      </c>
      <c r="H72" s="10">
        <v>30</v>
      </c>
      <c r="I72" s="10">
        <v>30</v>
      </c>
      <c r="J72" s="10" t="s">
        <v>23</v>
      </c>
      <c r="K72" s="10">
        <v>900</v>
      </c>
      <c r="L72" s="10">
        <v>325000</v>
      </c>
      <c r="M72" s="10">
        <f t="shared" si="6"/>
        <v>10800</v>
      </c>
      <c r="N72" s="10">
        <f t="shared" si="7"/>
        <v>4500</v>
      </c>
      <c r="O72" s="10">
        <f t="shared" si="8"/>
        <v>340300</v>
      </c>
      <c r="P72" s="30">
        <v>13.037989</v>
      </c>
      <c r="Q72" s="31">
        <v>80.192678</v>
      </c>
      <c r="R72" s="10" t="s">
        <v>24</v>
      </c>
      <c r="S72" s="11"/>
    </row>
    <row r="73" customHeight="1" spans="1:19">
      <c r="A73" s="5"/>
      <c r="B73" s="6">
        <v>72</v>
      </c>
      <c r="C73" s="7" t="s">
        <v>19</v>
      </c>
      <c r="D73" s="7" t="s">
        <v>20</v>
      </c>
      <c r="E73" s="8" t="s">
        <v>127</v>
      </c>
      <c r="F73" s="9" t="s">
        <v>129</v>
      </c>
      <c r="G73" s="10">
        <v>1</v>
      </c>
      <c r="H73" s="10">
        <v>20</v>
      </c>
      <c r="I73" s="10">
        <v>25</v>
      </c>
      <c r="J73" s="10" t="s">
        <v>23</v>
      </c>
      <c r="K73" s="10">
        <f t="shared" ref="K73:K78" si="9">H73*I73</f>
        <v>500</v>
      </c>
      <c r="L73" s="10">
        <v>250000</v>
      </c>
      <c r="M73" s="10">
        <f t="shared" si="6"/>
        <v>6000</v>
      </c>
      <c r="N73" s="10">
        <f t="shared" si="7"/>
        <v>2500</v>
      </c>
      <c r="O73" s="10">
        <f t="shared" si="8"/>
        <v>258500</v>
      </c>
      <c r="P73" s="32">
        <v>13.037989</v>
      </c>
      <c r="Q73" s="33">
        <v>80.192678</v>
      </c>
      <c r="R73" s="10" t="s">
        <v>24</v>
      </c>
      <c r="S73" s="11"/>
    </row>
    <row r="74" customHeight="1" spans="1:19">
      <c r="A74" s="5">
        <v>61</v>
      </c>
      <c r="B74" s="6">
        <v>73</v>
      </c>
      <c r="C74" s="7" t="s">
        <v>19</v>
      </c>
      <c r="D74" s="7" t="s">
        <v>56</v>
      </c>
      <c r="E74" s="8" t="s">
        <v>130</v>
      </c>
      <c r="F74" s="7" t="s">
        <v>131</v>
      </c>
      <c r="G74" s="10">
        <v>1</v>
      </c>
      <c r="H74" s="10">
        <v>22.6</v>
      </c>
      <c r="I74" s="10">
        <v>33.6</v>
      </c>
      <c r="J74" s="10" t="s">
        <v>38</v>
      </c>
      <c r="K74" s="10">
        <f t="shared" si="9"/>
        <v>759.36</v>
      </c>
      <c r="L74" s="10">
        <v>400000</v>
      </c>
      <c r="M74" s="10">
        <f>K74*20</f>
        <v>15187.2</v>
      </c>
      <c r="N74" s="10">
        <f>K74*10</f>
        <v>7593.6</v>
      </c>
      <c r="O74" s="34">
        <f t="shared" si="8"/>
        <v>422780.8</v>
      </c>
      <c r="P74" s="11">
        <v>13.0319147</v>
      </c>
      <c r="Q74" s="11">
        <v>80.2117494</v>
      </c>
      <c r="R74" s="28"/>
      <c r="S74" s="11"/>
    </row>
    <row r="75" ht="13.5" customHeight="1" spans="1:19">
      <c r="A75" s="5">
        <v>62</v>
      </c>
      <c r="B75" s="6">
        <v>74</v>
      </c>
      <c r="C75" s="7" t="s">
        <v>19</v>
      </c>
      <c r="D75" s="7" t="s">
        <v>20</v>
      </c>
      <c r="E75" s="8" t="s">
        <v>132</v>
      </c>
      <c r="F75" s="9" t="s">
        <v>133</v>
      </c>
      <c r="G75" s="10">
        <v>1</v>
      </c>
      <c r="H75" s="10">
        <v>35</v>
      </c>
      <c r="I75" s="10">
        <v>25</v>
      </c>
      <c r="J75" s="10" t="s">
        <v>38</v>
      </c>
      <c r="K75" s="10">
        <f t="shared" si="9"/>
        <v>875</v>
      </c>
      <c r="L75" s="10">
        <v>150000</v>
      </c>
      <c r="M75" s="10">
        <f t="shared" ref="M75:M138" si="10">K75*12</f>
        <v>10500</v>
      </c>
      <c r="N75" s="10">
        <f t="shared" ref="N75:N83" si="11">K75*5</f>
        <v>4375</v>
      </c>
      <c r="O75" s="10">
        <f t="shared" si="8"/>
        <v>164875</v>
      </c>
      <c r="P75" s="11">
        <v>13.0316612</v>
      </c>
      <c r="Q75" s="11">
        <v>80.153536</v>
      </c>
      <c r="R75" s="10"/>
      <c r="S75" s="11"/>
    </row>
    <row r="76" ht="13.5" customHeight="1" spans="1:19">
      <c r="A76" s="5">
        <v>63</v>
      </c>
      <c r="B76" s="6">
        <v>75</v>
      </c>
      <c r="C76" s="7" t="s">
        <v>19</v>
      </c>
      <c r="D76" s="26" t="s">
        <v>20</v>
      </c>
      <c r="E76" s="25" t="s">
        <v>132</v>
      </c>
      <c r="F76" s="26" t="s">
        <v>134</v>
      </c>
      <c r="G76" s="11">
        <v>1</v>
      </c>
      <c r="H76" s="11">
        <v>40</v>
      </c>
      <c r="I76" s="11">
        <v>20</v>
      </c>
      <c r="J76" s="11" t="s">
        <v>38</v>
      </c>
      <c r="K76" s="11">
        <f t="shared" si="9"/>
        <v>800</v>
      </c>
      <c r="L76" s="11">
        <v>200000</v>
      </c>
      <c r="M76" s="10">
        <f t="shared" si="10"/>
        <v>9600</v>
      </c>
      <c r="N76" s="10">
        <f t="shared" si="11"/>
        <v>4000</v>
      </c>
      <c r="O76" s="10">
        <f t="shared" si="8"/>
        <v>213600</v>
      </c>
      <c r="P76" s="10">
        <v>13.0345016</v>
      </c>
      <c r="Q76" s="10">
        <v>80.1562203</v>
      </c>
      <c r="R76" s="10"/>
      <c r="S76" s="10"/>
    </row>
    <row r="77" customHeight="1" spans="1:19">
      <c r="A77" s="5">
        <v>66</v>
      </c>
      <c r="B77" s="6">
        <v>76</v>
      </c>
      <c r="C77" s="7" t="s">
        <v>19</v>
      </c>
      <c r="D77" s="7" t="s">
        <v>20</v>
      </c>
      <c r="E77" s="8" t="s">
        <v>135</v>
      </c>
      <c r="F77" s="7" t="s">
        <v>136</v>
      </c>
      <c r="G77" s="10">
        <v>1</v>
      </c>
      <c r="H77" s="10">
        <v>25</v>
      </c>
      <c r="I77" s="10">
        <v>30</v>
      </c>
      <c r="J77" s="10" t="s">
        <v>23</v>
      </c>
      <c r="K77" s="10">
        <f t="shared" si="9"/>
        <v>750</v>
      </c>
      <c r="L77" s="10">
        <v>95000</v>
      </c>
      <c r="M77" s="10">
        <f t="shared" si="10"/>
        <v>9000</v>
      </c>
      <c r="N77" s="10">
        <f t="shared" si="11"/>
        <v>3750</v>
      </c>
      <c r="O77" s="10">
        <f t="shared" si="8"/>
        <v>107750</v>
      </c>
      <c r="P77" s="10">
        <v>13.0240057</v>
      </c>
      <c r="Q77" s="10">
        <v>80.1473954</v>
      </c>
      <c r="R77" s="10" t="s">
        <v>24</v>
      </c>
      <c r="S77" s="11" t="s">
        <v>25</v>
      </c>
    </row>
    <row r="78" customHeight="1" spans="1:19">
      <c r="A78" s="5">
        <v>67</v>
      </c>
      <c r="B78" s="6">
        <v>77</v>
      </c>
      <c r="C78" s="7" t="s">
        <v>19</v>
      </c>
      <c r="D78" s="7" t="s">
        <v>20</v>
      </c>
      <c r="E78" s="8" t="s">
        <v>135</v>
      </c>
      <c r="F78" s="7" t="s">
        <v>137</v>
      </c>
      <c r="G78" s="10">
        <v>1</v>
      </c>
      <c r="H78" s="10">
        <v>25</v>
      </c>
      <c r="I78" s="10">
        <v>30</v>
      </c>
      <c r="J78" s="10" t="s">
        <v>23</v>
      </c>
      <c r="K78" s="10">
        <f t="shared" si="9"/>
        <v>750</v>
      </c>
      <c r="L78" s="10">
        <v>95000</v>
      </c>
      <c r="M78" s="10">
        <f t="shared" si="10"/>
        <v>9000</v>
      </c>
      <c r="N78" s="10">
        <f t="shared" si="11"/>
        <v>3750</v>
      </c>
      <c r="O78" s="10">
        <f t="shared" si="8"/>
        <v>107750</v>
      </c>
      <c r="P78" s="10">
        <v>13.0240057</v>
      </c>
      <c r="Q78" s="10">
        <v>80.1473954</v>
      </c>
      <c r="R78" s="10" t="s">
        <v>24</v>
      </c>
      <c r="S78" s="11" t="s">
        <v>25</v>
      </c>
    </row>
    <row r="79" customHeight="1" spans="1:19">
      <c r="A79" s="5">
        <v>68</v>
      </c>
      <c r="B79" s="6">
        <v>78</v>
      </c>
      <c r="C79" s="7" t="s">
        <v>19</v>
      </c>
      <c r="D79" s="7" t="s">
        <v>20</v>
      </c>
      <c r="E79" s="8" t="s">
        <v>138</v>
      </c>
      <c r="F79" s="7" t="s">
        <v>139</v>
      </c>
      <c r="G79" s="10">
        <v>1</v>
      </c>
      <c r="H79" s="10">
        <v>20</v>
      </c>
      <c r="I79" s="10">
        <v>20</v>
      </c>
      <c r="J79" s="10" t="s">
        <v>23</v>
      </c>
      <c r="K79" s="10">
        <v>400</v>
      </c>
      <c r="L79" s="10">
        <v>250000</v>
      </c>
      <c r="M79" s="10">
        <f t="shared" si="10"/>
        <v>4800</v>
      </c>
      <c r="N79" s="10">
        <f t="shared" si="11"/>
        <v>2000</v>
      </c>
      <c r="O79" s="10">
        <f t="shared" si="8"/>
        <v>256800</v>
      </c>
      <c r="P79" s="10">
        <v>13.029549</v>
      </c>
      <c r="Q79" s="10">
        <v>80.245935</v>
      </c>
      <c r="R79" s="10" t="s">
        <v>49</v>
      </c>
      <c r="S79" s="11"/>
    </row>
    <row r="80" customHeight="1" spans="1:19">
      <c r="A80" s="5"/>
      <c r="B80" s="6">
        <v>79</v>
      </c>
      <c r="C80" s="7" t="s">
        <v>19</v>
      </c>
      <c r="D80" s="7" t="s">
        <v>20</v>
      </c>
      <c r="E80" s="8" t="s">
        <v>140</v>
      </c>
      <c r="F80" s="7" t="s">
        <v>141</v>
      </c>
      <c r="G80" s="10">
        <v>1</v>
      </c>
      <c r="H80" s="10">
        <v>40</v>
      </c>
      <c r="I80" s="10">
        <v>25</v>
      </c>
      <c r="J80" s="10" t="s">
        <v>23</v>
      </c>
      <c r="K80" s="10">
        <f>H80*I80</f>
        <v>1000</v>
      </c>
      <c r="L80" s="10">
        <v>450000</v>
      </c>
      <c r="M80" s="10">
        <f t="shared" si="10"/>
        <v>12000</v>
      </c>
      <c r="N80" s="10">
        <f t="shared" si="11"/>
        <v>5000</v>
      </c>
      <c r="O80" s="10">
        <f t="shared" si="8"/>
        <v>467000</v>
      </c>
      <c r="P80" s="10">
        <v>12.9815191</v>
      </c>
      <c r="Q80" s="10">
        <v>80.252723</v>
      </c>
      <c r="R80" s="10" t="s">
        <v>24</v>
      </c>
      <c r="S80" s="11" t="s">
        <v>25</v>
      </c>
    </row>
    <row r="81" customHeight="1" spans="1:19">
      <c r="A81" s="5"/>
      <c r="B81" s="6">
        <v>80</v>
      </c>
      <c r="C81" s="7" t="s">
        <v>19</v>
      </c>
      <c r="D81" s="7" t="s">
        <v>20</v>
      </c>
      <c r="E81" s="8" t="s">
        <v>140</v>
      </c>
      <c r="F81" s="9" t="s">
        <v>142</v>
      </c>
      <c r="G81" s="10">
        <v>1</v>
      </c>
      <c r="H81" s="10">
        <v>25</v>
      </c>
      <c r="I81" s="10">
        <v>25</v>
      </c>
      <c r="J81" s="10" t="s">
        <v>23</v>
      </c>
      <c r="K81" s="11">
        <f>H81*I81</f>
        <v>625</v>
      </c>
      <c r="L81" s="10">
        <v>200000</v>
      </c>
      <c r="M81" s="10">
        <f t="shared" si="10"/>
        <v>7500</v>
      </c>
      <c r="N81" s="10">
        <f t="shared" si="11"/>
        <v>3125</v>
      </c>
      <c r="O81" s="10">
        <f t="shared" si="8"/>
        <v>210625</v>
      </c>
      <c r="P81" s="10">
        <v>12.9080628</v>
      </c>
      <c r="Q81" s="10">
        <v>80.2285983</v>
      </c>
      <c r="R81" s="28"/>
      <c r="S81" s="11"/>
    </row>
    <row r="82" customHeight="1" spans="1:19">
      <c r="A82" s="5">
        <v>69</v>
      </c>
      <c r="B82" s="6">
        <v>81</v>
      </c>
      <c r="C82" s="7" t="s">
        <v>19</v>
      </c>
      <c r="D82" s="7" t="s">
        <v>20</v>
      </c>
      <c r="E82" s="8" t="s">
        <v>143</v>
      </c>
      <c r="F82" s="7" t="s">
        <v>144</v>
      </c>
      <c r="G82" s="10">
        <v>1</v>
      </c>
      <c r="H82" s="10">
        <v>30</v>
      </c>
      <c r="I82" s="10">
        <v>25</v>
      </c>
      <c r="J82" s="10" t="s">
        <v>23</v>
      </c>
      <c r="K82" s="10">
        <v>750</v>
      </c>
      <c r="L82" s="10">
        <v>110000</v>
      </c>
      <c r="M82" s="10">
        <f t="shared" si="10"/>
        <v>9000</v>
      </c>
      <c r="N82" s="10">
        <f t="shared" si="11"/>
        <v>3750</v>
      </c>
      <c r="O82" s="10">
        <f t="shared" si="8"/>
        <v>122750</v>
      </c>
      <c r="P82" s="10">
        <v>12.803753</v>
      </c>
      <c r="Q82" s="10">
        <v>80.223856</v>
      </c>
      <c r="R82" s="10" t="s">
        <v>24</v>
      </c>
      <c r="S82" s="11" t="s">
        <v>25</v>
      </c>
    </row>
    <row r="83" customHeight="1" spans="1:19">
      <c r="A83" s="5">
        <v>70</v>
      </c>
      <c r="B83" s="6">
        <v>82</v>
      </c>
      <c r="C83" s="7" t="s">
        <v>19</v>
      </c>
      <c r="D83" s="7" t="s">
        <v>20</v>
      </c>
      <c r="E83" s="8" t="s">
        <v>143</v>
      </c>
      <c r="F83" s="7" t="s">
        <v>145</v>
      </c>
      <c r="G83" s="10">
        <v>1</v>
      </c>
      <c r="H83" s="10">
        <v>30</v>
      </c>
      <c r="I83" s="10">
        <v>25</v>
      </c>
      <c r="J83" s="10" t="s">
        <v>23</v>
      </c>
      <c r="K83" s="10">
        <v>750</v>
      </c>
      <c r="L83" s="10">
        <v>110000</v>
      </c>
      <c r="M83" s="10">
        <f t="shared" si="10"/>
        <v>9000</v>
      </c>
      <c r="N83" s="10">
        <f t="shared" si="11"/>
        <v>3750</v>
      </c>
      <c r="O83" s="10">
        <f t="shared" si="8"/>
        <v>122750</v>
      </c>
      <c r="P83" s="10">
        <v>12.802367</v>
      </c>
      <c r="Q83" s="10">
        <v>80.223634</v>
      </c>
      <c r="R83" s="10" t="s">
        <v>24</v>
      </c>
      <c r="S83" s="11" t="s">
        <v>25</v>
      </c>
    </row>
    <row r="84" customHeight="1" spans="1:19">
      <c r="A84" s="5">
        <v>71</v>
      </c>
      <c r="B84" s="6">
        <v>83</v>
      </c>
      <c r="C84" s="7" t="s">
        <v>19</v>
      </c>
      <c r="D84" s="7" t="s">
        <v>27</v>
      </c>
      <c r="E84" s="8" t="s">
        <v>143</v>
      </c>
      <c r="F84" s="7" t="s">
        <v>146</v>
      </c>
      <c r="G84" s="10">
        <v>1</v>
      </c>
      <c r="H84" s="10">
        <v>40</v>
      </c>
      <c r="I84" s="10">
        <v>30</v>
      </c>
      <c r="J84" s="10" t="s">
        <v>23</v>
      </c>
      <c r="K84" s="10">
        <v>1200</v>
      </c>
      <c r="L84" s="10">
        <v>175000</v>
      </c>
      <c r="M84" s="10">
        <f t="shared" si="10"/>
        <v>14400</v>
      </c>
      <c r="N84" s="10">
        <f t="shared" ref="N84:N95" si="12">K84*7</f>
        <v>8400</v>
      </c>
      <c r="O84" s="10">
        <f t="shared" si="8"/>
        <v>197800</v>
      </c>
      <c r="P84" s="10">
        <v>12.7715442</v>
      </c>
      <c r="Q84" s="10">
        <v>80.2134759</v>
      </c>
      <c r="R84" s="10" t="s">
        <v>55</v>
      </c>
      <c r="S84" s="11" t="s">
        <v>25</v>
      </c>
    </row>
    <row r="85" customHeight="1" spans="1:19">
      <c r="A85" s="5">
        <v>72</v>
      </c>
      <c r="B85" s="6">
        <v>84</v>
      </c>
      <c r="C85" s="7" t="s">
        <v>19</v>
      </c>
      <c r="D85" s="7" t="s">
        <v>27</v>
      </c>
      <c r="E85" s="8" t="s">
        <v>143</v>
      </c>
      <c r="F85" s="7" t="s">
        <v>147</v>
      </c>
      <c r="G85" s="10">
        <v>1</v>
      </c>
      <c r="H85" s="10">
        <v>40</v>
      </c>
      <c r="I85" s="10">
        <v>30</v>
      </c>
      <c r="J85" s="10" t="s">
        <v>23</v>
      </c>
      <c r="K85" s="10">
        <v>1200</v>
      </c>
      <c r="L85" s="10">
        <v>175000</v>
      </c>
      <c r="M85" s="10">
        <f t="shared" si="10"/>
        <v>14400</v>
      </c>
      <c r="N85" s="10">
        <f t="shared" si="12"/>
        <v>8400</v>
      </c>
      <c r="O85" s="10">
        <f t="shared" si="8"/>
        <v>197800</v>
      </c>
      <c r="P85" s="10">
        <v>12.7715442</v>
      </c>
      <c r="Q85" s="10">
        <v>80.2134759</v>
      </c>
      <c r="R85" s="10" t="s">
        <v>55</v>
      </c>
      <c r="S85" s="11" t="s">
        <v>25</v>
      </c>
    </row>
    <row r="86" customHeight="1" spans="1:19">
      <c r="A86" s="5">
        <v>73</v>
      </c>
      <c r="B86" s="6">
        <v>85</v>
      </c>
      <c r="C86" s="7" t="s">
        <v>19</v>
      </c>
      <c r="D86" s="26" t="s">
        <v>27</v>
      </c>
      <c r="E86" s="25" t="s">
        <v>148</v>
      </c>
      <c r="F86" s="26" t="s">
        <v>149</v>
      </c>
      <c r="G86" s="11">
        <v>1</v>
      </c>
      <c r="H86" s="11">
        <v>60</v>
      </c>
      <c r="I86" s="11">
        <v>30</v>
      </c>
      <c r="J86" s="11" t="s">
        <v>38</v>
      </c>
      <c r="K86" s="11">
        <f t="shared" ref="K86:K96" si="13">H86*I86</f>
        <v>1800</v>
      </c>
      <c r="L86" s="11">
        <v>250000</v>
      </c>
      <c r="M86" s="10">
        <f t="shared" si="10"/>
        <v>21600</v>
      </c>
      <c r="N86" s="10">
        <f t="shared" si="12"/>
        <v>12600</v>
      </c>
      <c r="O86" s="10">
        <f t="shared" si="8"/>
        <v>284200</v>
      </c>
      <c r="P86" s="10">
        <v>12.811282</v>
      </c>
      <c r="Q86" s="10">
        <v>80.228223</v>
      </c>
      <c r="R86" s="10"/>
      <c r="S86" s="10"/>
    </row>
    <row r="87" customHeight="1" spans="1:19">
      <c r="A87" s="5">
        <v>74</v>
      </c>
      <c r="B87" s="6">
        <v>86</v>
      </c>
      <c r="C87" s="7" t="s">
        <v>19</v>
      </c>
      <c r="D87" s="26" t="s">
        <v>27</v>
      </c>
      <c r="E87" s="25" t="s">
        <v>148</v>
      </c>
      <c r="F87" s="26" t="s">
        <v>150</v>
      </c>
      <c r="G87" s="11">
        <v>1</v>
      </c>
      <c r="H87" s="11">
        <v>60</v>
      </c>
      <c r="I87" s="11">
        <v>30</v>
      </c>
      <c r="J87" s="11" t="s">
        <v>38</v>
      </c>
      <c r="K87" s="11">
        <f t="shared" si="13"/>
        <v>1800</v>
      </c>
      <c r="L87" s="11">
        <v>250000</v>
      </c>
      <c r="M87" s="10">
        <f t="shared" si="10"/>
        <v>21600</v>
      </c>
      <c r="N87" s="10">
        <f t="shared" si="12"/>
        <v>12600</v>
      </c>
      <c r="O87" s="10">
        <f t="shared" si="8"/>
        <v>284200</v>
      </c>
      <c r="P87" s="10">
        <v>12.811282</v>
      </c>
      <c r="Q87" s="10">
        <v>80.228223</v>
      </c>
      <c r="R87" s="10"/>
      <c r="S87" s="10"/>
    </row>
    <row r="88" customHeight="1" spans="1:19">
      <c r="A88" s="5">
        <v>75</v>
      </c>
      <c r="B88" s="6">
        <v>87</v>
      </c>
      <c r="C88" s="7" t="s">
        <v>19</v>
      </c>
      <c r="D88" s="26" t="s">
        <v>27</v>
      </c>
      <c r="E88" s="25" t="s">
        <v>151</v>
      </c>
      <c r="F88" s="26" t="s">
        <v>152</v>
      </c>
      <c r="G88" s="11">
        <v>1</v>
      </c>
      <c r="H88" s="11">
        <v>50</v>
      </c>
      <c r="I88" s="11">
        <v>30</v>
      </c>
      <c r="J88" s="11" t="s">
        <v>38</v>
      </c>
      <c r="K88" s="11">
        <f t="shared" si="13"/>
        <v>1500</v>
      </c>
      <c r="L88" s="11">
        <v>150000</v>
      </c>
      <c r="M88" s="10">
        <f t="shared" si="10"/>
        <v>18000</v>
      </c>
      <c r="N88" s="10">
        <f t="shared" si="12"/>
        <v>10500</v>
      </c>
      <c r="O88" s="10">
        <f t="shared" si="8"/>
        <v>178500</v>
      </c>
      <c r="P88" s="10">
        <v>12.775463</v>
      </c>
      <c r="Q88" s="10">
        <v>80.213635</v>
      </c>
      <c r="R88" s="10"/>
      <c r="S88" s="10"/>
    </row>
    <row r="89" customHeight="1" spans="1:19">
      <c r="A89" s="5">
        <v>76</v>
      </c>
      <c r="B89" s="6">
        <v>88</v>
      </c>
      <c r="C89" s="7" t="s">
        <v>19</v>
      </c>
      <c r="D89" s="26" t="s">
        <v>27</v>
      </c>
      <c r="E89" s="25" t="s">
        <v>151</v>
      </c>
      <c r="F89" s="26" t="s">
        <v>153</v>
      </c>
      <c r="G89" s="11">
        <v>1</v>
      </c>
      <c r="H89" s="11">
        <v>50</v>
      </c>
      <c r="I89" s="11">
        <v>30</v>
      </c>
      <c r="J89" s="11" t="s">
        <v>38</v>
      </c>
      <c r="K89" s="11">
        <f t="shared" si="13"/>
        <v>1500</v>
      </c>
      <c r="L89" s="11">
        <v>150000</v>
      </c>
      <c r="M89" s="10">
        <f t="shared" si="10"/>
        <v>18000</v>
      </c>
      <c r="N89" s="10">
        <f t="shared" si="12"/>
        <v>10500</v>
      </c>
      <c r="O89" s="10">
        <f t="shared" si="8"/>
        <v>178500</v>
      </c>
      <c r="P89" s="10">
        <v>12.775463</v>
      </c>
      <c r="Q89" s="10">
        <v>80.213635</v>
      </c>
      <c r="R89" s="10"/>
      <c r="S89" s="10"/>
    </row>
    <row r="90" customHeight="1" spans="1:19">
      <c r="A90" s="5">
        <v>79</v>
      </c>
      <c r="B90" s="6">
        <v>89</v>
      </c>
      <c r="C90" s="7" t="s">
        <v>19</v>
      </c>
      <c r="D90" s="26" t="s">
        <v>27</v>
      </c>
      <c r="E90" s="25" t="s">
        <v>154</v>
      </c>
      <c r="F90" s="26" t="s">
        <v>155</v>
      </c>
      <c r="G90" s="11">
        <v>1</v>
      </c>
      <c r="H90" s="11">
        <v>50</v>
      </c>
      <c r="I90" s="11">
        <v>30</v>
      </c>
      <c r="J90" s="11" t="s">
        <v>38</v>
      </c>
      <c r="K90" s="11">
        <f t="shared" si="13"/>
        <v>1500</v>
      </c>
      <c r="L90" s="11">
        <v>150000</v>
      </c>
      <c r="M90" s="10">
        <f t="shared" si="10"/>
        <v>18000</v>
      </c>
      <c r="N90" s="10">
        <f t="shared" si="12"/>
        <v>10500</v>
      </c>
      <c r="O90" s="10">
        <f t="shared" si="8"/>
        <v>178500</v>
      </c>
      <c r="P90" s="10">
        <v>12.7483914</v>
      </c>
      <c r="Q90" s="10">
        <v>80.2027536</v>
      </c>
      <c r="R90" s="10"/>
      <c r="S90" s="10"/>
    </row>
    <row r="91" customHeight="1" spans="1:19">
      <c r="A91" s="5">
        <v>80</v>
      </c>
      <c r="B91" s="6">
        <v>90</v>
      </c>
      <c r="C91" s="7" t="s">
        <v>19</v>
      </c>
      <c r="D91" s="26" t="s">
        <v>27</v>
      </c>
      <c r="E91" s="25" t="s">
        <v>154</v>
      </c>
      <c r="F91" s="26" t="s">
        <v>156</v>
      </c>
      <c r="G91" s="11">
        <v>1</v>
      </c>
      <c r="H91" s="11">
        <v>50</v>
      </c>
      <c r="I91" s="11">
        <v>30</v>
      </c>
      <c r="J91" s="11" t="s">
        <v>38</v>
      </c>
      <c r="K91" s="11">
        <f t="shared" si="13"/>
        <v>1500</v>
      </c>
      <c r="L91" s="11">
        <v>150000</v>
      </c>
      <c r="M91" s="10">
        <f t="shared" si="10"/>
        <v>18000</v>
      </c>
      <c r="N91" s="10">
        <f t="shared" si="12"/>
        <v>10500</v>
      </c>
      <c r="O91" s="10">
        <f t="shared" si="8"/>
        <v>178500</v>
      </c>
      <c r="P91" s="10">
        <v>12.7483914</v>
      </c>
      <c r="Q91" s="10">
        <v>80.2027536</v>
      </c>
      <c r="R91" s="10"/>
      <c r="S91" s="10"/>
    </row>
    <row r="92" ht="13.5" customHeight="1" spans="1:19">
      <c r="A92" s="5"/>
      <c r="B92" s="6">
        <v>91</v>
      </c>
      <c r="C92" s="7" t="s">
        <v>19</v>
      </c>
      <c r="D92" s="26" t="s">
        <v>27</v>
      </c>
      <c r="E92" s="8" t="s">
        <v>157</v>
      </c>
      <c r="F92" s="7" t="s">
        <v>158</v>
      </c>
      <c r="G92" s="10">
        <v>1</v>
      </c>
      <c r="H92" s="10">
        <v>30</v>
      </c>
      <c r="I92" s="10">
        <v>30</v>
      </c>
      <c r="J92" s="11" t="s">
        <v>38</v>
      </c>
      <c r="K92" s="11">
        <f t="shared" si="13"/>
        <v>900</v>
      </c>
      <c r="L92" s="10">
        <v>125000</v>
      </c>
      <c r="M92" s="10">
        <f t="shared" si="10"/>
        <v>10800</v>
      </c>
      <c r="N92" s="10">
        <f t="shared" si="12"/>
        <v>6300</v>
      </c>
      <c r="O92" s="10">
        <f t="shared" si="8"/>
        <v>142100</v>
      </c>
      <c r="P92" s="22">
        <v>12.838899</v>
      </c>
      <c r="Q92" s="22">
        <v>80.227798</v>
      </c>
      <c r="R92" s="10"/>
      <c r="S92" s="11"/>
    </row>
    <row r="93" ht="13.5" customHeight="1" spans="1:19">
      <c r="A93" s="5"/>
      <c r="B93" s="6">
        <v>92</v>
      </c>
      <c r="C93" s="7" t="s">
        <v>19</v>
      </c>
      <c r="D93" s="26" t="s">
        <v>27</v>
      </c>
      <c r="E93" s="8" t="s">
        <v>157</v>
      </c>
      <c r="F93" s="7" t="s">
        <v>159</v>
      </c>
      <c r="G93" s="10">
        <v>1</v>
      </c>
      <c r="H93" s="10">
        <v>30</v>
      </c>
      <c r="I93" s="10">
        <v>30</v>
      </c>
      <c r="J93" s="11" t="s">
        <v>38</v>
      </c>
      <c r="K93" s="11">
        <f t="shared" si="13"/>
        <v>900</v>
      </c>
      <c r="L93" s="10">
        <v>125000</v>
      </c>
      <c r="M93" s="10">
        <f t="shared" si="10"/>
        <v>10800</v>
      </c>
      <c r="N93" s="10">
        <f t="shared" si="12"/>
        <v>6300</v>
      </c>
      <c r="O93" s="10">
        <f t="shared" si="8"/>
        <v>142100</v>
      </c>
      <c r="P93" s="22">
        <v>12.838899</v>
      </c>
      <c r="Q93" s="22">
        <v>80.227798</v>
      </c>
      <c r="R93" s="10"/>
      <c r="S93" s="11"/>
    </row>
    <row r="94" ht="13.5" customHeight="1" spans="1:19">
      <c r="A94" s="35"/>
      <c r="B94" s="6">
        <v>93</v>
      </c>
      <c r="C94" s="7" t="s">
        <v>19</v>
      </c>
      <c r="D94" s="26" t="s">
        <v>27</v>
      </c>
      <c r="E94" s="8" t="s">
        <v>160</v>
      </c>
      <c r="F94" s="9" t="s">
        <v>161</v>
      </c>
      <c r="G94" s="10">
        <v>1</v>
      </c>
      <c r="H94" s="10">
        <v>40</v>
      </c>
      <c r="I94" s="10">
        <v>25</v>
      </c>
      <c r="J94" s="10" t="s">
        <v>23</v>
      </c>
      <c r="K94" s="11">
        <f t="shared" si="13"/>
        <v>1000</v>
      </c>
      <c r="L94" s="10">
        <v>450000</v>
      </c>
      <c r="M94" s="10">
        <f t="shared" si="10"/>
        <v>12000</v>
      </c>
      <c r="N94" s="10">
        <f t="shared" si="12"/>
        <v>7000</v>
      </c>
      <c r="O94" s="10">
        <f t="shared" si="8"/>
        <v>469000</v>
      </c>
      <c r="P94" s="6">
        <v>12.972751</v>
      </c>
      <c r="Q94" s="6">
        <v>80.219653</v>
      </c>
      <c r="R94" s="10" t="s">
        <v>24</v>
      </c>
      <c r="S94" s="11" t="s">
        <v>25</v>
      </c>
    </row>
    <row r="95" ht="13.5" customHeight="1" spans="1:19">
      <c r="A95" s="35"/>
      <c r="B95" s="6">
        <v>94</v>
      </c>
      <c r="C95" s="7" t="s">
        <v>19</v>
      </c>
      <c r="D95" s="26" t="s">
        <v>27</v>
      </c>
      <c r="E95" s="8" t="s">
        <v>160</v>
      </c>
      <c r="F95" s="36" t="s">
        <v>162</v>
      </c>
      <c r="G95" s="10">
        <v>1</v>
      </c>
      <c r="H95" s="10">
        <v>40</v>
      </c>
      <c r="I95" s="10">
        <v>25</v>
      </c>
      <c r="J95" s="10" t="s">
        <v>23</v>
      </c>
      <c r="K95" s="11">
        <f t="shared" si="13"/>
        <v>1000</v>
      </c>
      <c r="L95" s="10">
        <v>450000</v>
      </c>
      <c r="M95" s="10">
        <f t="shared" si="10"/>
        <v>12000</v>
      </c>
      <c r="N95" s="10">
        <f t="shared" si="12"/>
        <v>7000</v>
      </c>
      <c r="O95" s="10">
        <f t="shared" si="8"/>
        <v>469000</v>
      </c>
      <c r="P95" s="6">
        <v>12.972751</v>
      </c>
      <c r="Q95" s="6">
        <v>80.219653</v>
      </c>
      <c r="R95" s="10" t="s">
        <v>24</v>
      </c>
      <c r="S95" s="11" t="s">
        <v>25</v>
      </c>
    </row>
    <row r="96" ht="13.5" customHeight="1" spans="1:19">
      <c r="A96" s="35"/>
      <c r="B96" s="6">
        <v>95</v>
      </c>
      <c r="C96" s="7" t="s">
        <v>19</v>
      </c>
      <c r="D96" s="7" t="s">
        <v>20</v>
      </c>
      <c r="E96" s="8" t="s">
        <v>160</v>
      </c>
      <c r="F96" s="7" t="s">
        <v>163</v>
      </c>
      <c r="G96" s="10">
        <v>1</v>
      </c>
      <c r="H96" s="10">
        <v>35</v>
      </c>
      <c r="I96" s="10">
        <v>25</v>
      </c>
      <c r="J96" s="11" t="s">
        <v>38</v>
      </c>
      <c r="K96" s="11">
        <f t="shared" si="13"/>
        <v>875</v>
      </c>
      <c r="L96" s="10">
        <v>400000</v>
      </c>
      <c r="M96" s="10">
        <f t="shared" si="10"/>
        <v>10500</v>
      </c>
      <c r="N96" s="10">
        <f t="shared" ref="N96:N110" si="14">K96*5</f>
        <v>4375</v>
      </c>
      <c r="O96" s="10">
        <f t="shared" si="8"/>
        <v>414875</v>
      </c>
      <c r="P96" s="10">
        <v>12.9726573</v>
      </c>
      <c r="Q96" s="10">
        <v>80.2195622</v>
      </c>
      <c r="R96" s="10"/>
      <c r="S96" s="11"/>
    </row>
    <row r="97" ht="13.5" customHeight="1" spans="1:19">
      <c r="A97" s="5">
        <v>81</v>
      </c>
      <c r="B97" s="6">
        <v>96</v>
      </c>
      <c r="C97" s="7" t="s">
        <v>19</v>
      </c>
      <c r="D97" s="7" t="s">
        <v>20</v>
      </c>
      <c r="E97" s="8" t="s">
        <v>164</v>
      </c>
      <c r="F97" s="7" t="s">
        <v>163</v>
      </c>
      <c r="G97" s="10">
        <v>1</v>
      </c>
      <c r="H97" s="10">
        <v>20</v>
      </c>
      <c r="I97" s="10">
        <v>20</v>
      </c>
      <c r="J97" s="10" t="s">
        <v>23</v>
      </c>
      <c r="K97" s="10">
        <v>400</v>
      </c>
      <c r="L97" s="10">
        <v>200000</v>
      </c>
      <c r="M97" s="10">
        <f t="shared" si="10"/>
        <v>4800</v>
      </c>
      <c r="N97" s="10">
        <f t="shared" si="14"/>
        <v>2000</v>
      </c>
      <c r="O97" s="10">
        <f t="shared" si="8"/>
        <v>206800</v>
      </c>
      <c r="P97" s="10">
        <v>12.981421</v>
      </c>
      <c r="Q97" s="10">
        <v>80.218013</v>
      </c>
      <c r="R97" s="10" t="s">
        <v>55</v>
      </c>
      <c r="S97" s="11" t="s">
        <v>25</v>
      </c>
    </row>
    <row r="98" ht="13.5" customHeight="1" spans="1:19">
      <c r="A98" s="5"/>
      <c r="B98" s="6">
        <v>97</v>
      </c>
      <c r="C98" s="7" t="s">
        <v>19</v>
      </c>
      <c r="D98" s="7" t="s">
        <v>20</v>
      </c>
      <c r="E98" s="8" t="s">
        <v>164</v>
      </c>
      <c r="F98" s="7" t="s">
        <v>165</v>
      </c>
      <c r="G98" s="10">
        <v>1</v>
      </c>
      <c r="H98" s="10">
        <v>20</v>
      </c>
      <c r="I98" s="10">
        <v>20</v>
      </c>
      <c r="J98" s="10" t="s">
        <v>23</v>
      </c>
      <c r="K98" s="10">
        <v>400</v>
      </c>
      <c r="L98" s="10">
        <v>200000</v>
      </c>
      <c r="M98" s="10">
        <f t="shared" si="10"/>
        <v>4800</v>
      </c>
      <c r="N98" s="10">
        <f t="shared" si="14"/>
        <v>2000</v>
      </c>
      <c r="O98" s="10">
        <f t="shared" si="8"/>
        <v>206800</v>
      </c>
      <c r="P98" s="10">
        <v>12.981421</v>
      </c>
      <c r="Q98" s="10">
        <v>80.218013</v>
      </c>
      <c r="R98" s="10" t="s">
        <v>24</v>
      </c>
      <c r="S98" s="11" t="s">
        <v>25</v>
      </c>
    </row>
    <row r="99" ht="13.5" customHeight="1" spans="1:19">
      <c r="A99" s="5">
        <v>82</v>
      </c>
      <c r="B99" s="6">
        <v>98</v>
      </c>
      <c r="C99" s="7" t="s">
        <v>19</v>
      </c>
      <c r="D99" s="7" t="s">
        <v>20</v>
      </c>
      <c r="E99" s="8" t="s">
        <v>164</v>
      </c>
      <c r="F99" s="7" t="s">
        <v>166</v>
      </c>
      <c r="G99" s="10">
        <v>1</v>
      </c>
      <c r="H99" s="10">
        <v>25</v>
      </c>
      <c r="I99" s="10">
        <v>25</v>
      </c>
      <c r="J99" s="10" t="s">
        <v>23</v>
      </c>
      <c r="K99" s="10">
        <v>625</v>
      </c>
      <c r="L99" s="10">
        <v>200000</v>
      </c>
      <c r="M99" s="10">
        <f t="shared" si="10"/>
        <v>7500</v>
      </c>
      <c r="N99" s="10">
        <f t="shared" si="14"/>
        <v>3125</v>
      </c>
      <c r="O99" s="10">
        <f t="shared" si="8"/>
        <v>210625</v>
      </c>
      <c r="P99" s="10">
        <v>12.9486332</v>
      </c>
      <c r="Q99" s="10">
        <v>80.2034081</v>
      </c>
      <c r="R99" s="10" t="s">
        <v>55</v>
      </c>
      <c r="S99" s="11" t="s">
        <v>25</v>
      </c>
    </row>
    <row r="100" ht="13.5" customHeight="1" spans="1:19">
      <c r="A100" s="5">
        <v>83</v>
      </c>
      <c r="B100" s="6">
        <v>99</v>
      </c>
      <c r="C100" s="7" t="s">
        <v>19</v>
      </c>
      <c r="D100" s="7" t="s">
        <v>20</v>
      </c>
      <c r="E100" s="8" t="s">
        <v>164</v>
      </c>
      <c r="F100" s="7" t="s">
        <v>167</v>
      </c>
      <c r="G100" s="10">
        <v>1</v>
      </c>
      <c r="H100" s="10">
        <v>25</v>
      </c>
      <c r="I100" s="10">
        <v>25</v>
      </c>
      <c r="J100" s="10" t="s">
        <v>23</v>
      </c>
      <c r="K100" s="10">
        <v>625</v>
      </c>
      <c r="L100" s="10">
        <v>200000</v>
      </c>
      <c r="M100" s="10">
        <f t="shared" si="10"/>
        <v>7500</v>
      </c>
      <c r="N100" s="10">
        <f t="shared" si="14"/>
        <v>3125</v>
      </c>
      <c r="O100" s="10">
        <f t="shared" si="8"/>
        <v>210625</v>
      </c>
      <c r="P100" s="10">
        <v>12.9486332</v>
      </c>
      <c r="Q100" s="10">
        <v>80.2034081</v>
      </c>
      <c r="R100" s="10" t="s">
        <v>55</v>
      </c>
      <c r="S100" s="11" t="s">
        <v>25</v>
      </c>
    </row>
    <row r="101" customHeight="1" spans="1:19">
      <c r="A101" s="5"/>
      <c r="B101" s="6">
        <v>100</v>
      </c>
      <c r="C101" s="7" t="s">
        <v>19</v>
      </c>
      <c r="D101" s="7" t="s">
        <v>20</v>
      </c>
      <c r="E101" s="8" t="s">
        <v>164</v>
      </c>
      <c r="F101" s="7" t="s">
        <v>168</v>
      </c>
      <c r="G101" s="10">
        <v>1</v>
      </c>
      <c r="H101" s="10">
        <v>20</v>
      </c>
      <c r="I101" s="10">
        <v>20</v>
      </c>
      <c r="J101" s="11" t="s">
        <v>38</v>
      </c>
      <c r="K101" s="10">
        <f>H101*I101</f>
        <v>400</v>
      </c>
      <c r="L101" s="10">
        <v>125000</v>
      </c>
      <c r="M101" s="10">
        <f t="shared" si="10"/>
        <v>4800</v>
      </c>
      <c r="N101" s="10">
        <f t="shared" si="14"/>
        <v>2000</v>
      </c>
      <c r="O101" s="10">
        <f t="shared" si="8"/>
        <v>131800</v>
      </c>
      <c r="P101" s="10">
        <v>12.9609964</v>
      </c>
      <c r="Q101" s="10">
        <v>80.2148955</v>
      </c>
      <c r="R101" s="10"/>
      <c r="S101" s="11"/>
    </row>
    <row r="102" customHeight="1" spans="1:19">
      <c r="A102" s="5"/>
      <c r="B102" s="6">
        <v>101</v>
      </c>
      <c r="C102" s="7" t="s">
        <v>19</v>
      </c>
      <c r="D102" s="7" t="s">
        <v>20</v>
      </c>
      <c r="E102" s="8" t="s">
        <v>164</v>
      </c>
      <c r="F102" s="7" t="s">
        <v>169</v>
      </c>
      <c r="G102" s="10">
        <v>1</v>
      </c>
      <c r="H102" s="10">
        <v>20</v>
      </c>
      <c r="I102" s="10">
        <v>25</v>
      </c>
      <c r="J102" s="11" t="s">
        <v>38</v>
      </c>
      <c r="K102" s="10">
        <f>H102*I102</f>
        <v>500</v>
      </c>
      <c r="L102" s="10">
        <v>150000</v>
      </c>
      <c r="M102" s="10">
        <f t="shared" si="10"/>
        <v>6000</v>
      </c>
      <c r="N102" s="10">
        <f t="shared" si="14"/>
        <v>2500</v>
      </c>
      <c r="O102" s="10">
        <f t="shared" si="8"/>
        <v>158500</v>
      </c>
      <c r="P102" s="10">
        <v>12.9609964</v>
      </c>
      <c r="Q102" s="10">
        <v>80.2148955</v>
      </c>
      <c r="R102" s="10"/>
      <c r="S102" s="11"/>
    </row>
    <row r="103" customHeight="1" spans="1:19">
      <c r="A103" s="5">
        <v>84</v>
      </c>
      <c r="B103" s="6">
        <v>102</v>
      </c>
      <c r="C103" s="7" t="s">
        <v>19</v>
      </c>
      <c r="D103" s="7" t="s">
        <v>20</v>
      </c>
      <c r="E103" s="25" t="s">
        <v>170</v>
      </c>
      <c r="F103" s="7" t="s">
        <v>171</v>
      </c>
      <c r="G103" s="10">
        <v>1</v>
      </c>
      <c r="H103" s="10">
        <v>25</v>
      </c>
      <c r="I103" s="10">
        <v>30</v>
      </c>
      <c r="J103" s="10" t="s">
        <v>23</v>
      </c>
      <c r="K103" s="10">
        <v>750</v>
      </c>
      <c r="L103" s="10">
        <v>150000</v>
      </c>
      <c r="M103" s="10">
        <f t="shared" si="10"/>
        <v>9000</v>
      </c>
      <c r="N103" s="10">
        <f t="shared" si="14"/>
        <v>3750</v>
      </c>
      <c r="O103" s="10">
        <f t="shared" si="8"/>
        <v>162750</v>
      </c>
      <c r="P103" s="10">
        <v>12.91948</v>
      </c>
      <c r="Q103" s="10">
        <v>80.180712</v>
      </c>
      <c r="R103" s="10" t="s">
        <v>55</v>
      </c>
      <c r="S103" s="11" t="s">
        <v>25</v>
      </c>
    </row>
    <row r="104" ht="13.5" customHeight="1" spans="1:19">
      <c r="A104" s="5">
        <v>85</v>
      </c>
      <c r="B104" s="6">
        <v>103</v>
      </c>
      <c r="C104" s="7" t="s">
        <v>19</v>
      </c>
      <c r="D104" s="7" t="s">
        <v>20</v>
      </c>
      <c r="E104" s="25" t="s">
        <v>170</v>
      </c>
      <c r="F104" s="7" t="s">
        <v>172</v>
      </c>
      <c r="G104" s="10">
        <v>1</v>
      </c>
      <c r="H104" s="10">
        <v>25</v>
      </c>
      <c r="I104" s="10">
        <v>20</v>
      </c>
      <c r="J104" s="10" t="s">
        <v>23</v>
      </c>
      <c r="K104" s="10">
        <v>500</v>
      </c>
      <c r="L104" s="10">
        <v>160000</v>
      </c>
      <c r="M104" s="10">
        <f t="shared" si="10"/>
        <v>6000</v>
      </c>
      <c r="N104" s="10">
        <f t="shared" si="14"/>
        <v>2500</v>
      </c>
      <c r="O104" s="10">
        <f t="shared" si="8"/>
        <v>168500</v>
      </c>
      <c r="P104" s="10">
        <v>12.919447</v>
      </c>
      <c r="Q104" s="10">
        <v>80.18072</v>
      </c>
      <c r="R104" s="10" t="s">
        <v>55</v>
      </c>
      <c r="S104" s="11" t="s">
        <v>25</v>
      </c>
    </row>
    <row r="105" ht="12.75" customHeight="1" spans="1:19">
      <c r="A105" s="5">
        <v>86</v>
      </c>
      <c r="B105" s="6">
        <v>104</v>
      </c>
      <c r="C105" s="7" t="s">
        <v>19</v>
      </c>
      <c r="D105" s="7" t="s">
        <v>20</v>
      </c>
      <c r="E105" s="25" t="s">
        <v>170</v>
      </c>
      <c r="F105" s="7" t="s">
        <v>173</v>
      </c>
      <c r="G105" s="10">
        <v>1</v>
      </c>
      <c r="H105" s="10">
        <v>30</v>
      </c>
      <c r="I105" s="10">
        <v>30</v>
      </c>
      <c r="J105" s="10" t="s">
        <v>23</v>
      </c>
      <c r="K105" s="10">
        <v>900</v>
      </c>
      <c r="L105" s="10">
        <v>175000</v>
      </c>
      <c r="M105" s="10">
        <f t="shared" si="10"/>
        <v>10800</v>
      </c>
      <c r="N105" s="10">
        <f t="shared" si="14"/>
        <v>4500</v>
      </c>
      <c r="O105" s="10">
        <f t="shared" si="8"/>
        <v>190300</v>
      </c>
      <c r="P105" s="10">
        <v>12.918215</v>
      </c>
      <c r="Q105" s="10">
        <v>80.177884</v>
      </c>
      <c r="R105" s="10" t="s">
        <v>55</v>
      </c>
      <c r="S105" s="11" t="s">
        <v>25</v>
      </c>
    </row>
    <row r="106" ht="12.75" customHeight="1" spans="1:19">
      <c r="A106" s="5">
        <v>87</v>
      </c>
      <c r="B106" s="6">
        <v>105</v>
      </c>
      <c r="C106" s="7" t="s">
        <v>19</v>
      </c>
      <c r="D106" s="26" t="s">
        <v>20</v>
      </c>
      <c r="E106" s="25" t="s">
        <v>170</v>
      </c>
      <c r="F106" s="27" t="s">
        <v>174</v>
      </c>
      <c r="G106" s="11">
        <v>1</v>
      </c>
      <c r="H106" s="11">
        <v>25</v>
      </c>
      <c r="I106" s="11">
        <v>25</v>
      </c>
      <c r="J106" s="10" t="s">
        <v>23</v>
      </c>
      <c r="K106" s="11">
        <f>H106*I106</f>
        <v>625</v>
      </c>
      <c r="L106" s="11">
        <v>100000</v>
      </c>
      <c r="M106" s="10">
        <f t="shared" si="10"/>
        <v>7500</v>
      </c>
      <c r="N106" s="10">
        <f t="shared" si="14"/>
        <v>3125</v>
      </c>
      <c r="O106" s="10">
        <f t="shared" si="8"/>
        <v>110625</v>
      </c>
      <c r="P106" s="10">
        <v>12.8835683</v>
      </c>
      <c r="Q106" s="10">
        <v>80.171115</v>
      </c>
      <c r="R106" s="10" t="s">
        <v>55</v>
      </c>
      <c r="S106" s="10"/>
    </row>
    <row r="107" ht="12.75" customHeight="1" spans="1:19">
      <c r="A107" s="5">
        <v>88</v>
      </c>
      <c r="B107" s="6">
        <v>106</v>
      </c>
      <c r="C107" s="7" t="s">
        <v>19</v>
      </c>
      <c r="D107" s="26" t="s">
        <v>20</v>
      </c>
      <c r="E107" s="25" t="s">
        <v>170</v>
      </c>
      <c r="F107" s="26" t="s">
        <v>175</v>
      </c>
      <c r="G107" s="11">
        <v>1</v>
      </c>
      <c r="H107" s="11">
        <v>25</v>
      </c>
      <c r="I107" s="11">
        <v>25</v>
      </c>
      <c r="J107" s="10" t="s">
        <v>23</v>
      </c>
      <c r="K107" s="11">
        <f>H107*I107</f>
        <v>625</v>
      </c>
      <c r="L107" s="11">
        <v>100000</v>
      </c>
      <c r="M107" s="10">
        <f t="shared" si="10"/>
        <v>7500</v>
      </c>
      <c r="N107" s="10">
        <f t="shared" si="14"/>
        <v>3125</v>
      </c>
      <c r="O107" s="10">
        <f t="shared" si="8"/>
        <v>110625</v>
      </c>
      <c r="P107" s="10">
        <v>12.8835683</v>
      </c>
      <c r="Q107" s="10">
        <v>80.171115</v>
      </c>
      <c r="R107" s="10" t="s">
        <v>55</v>
      </c>
      <c r="S107" s="10"/>
    </row>
    <row r="108" customHeight="1" spans="1:19">
      <c r="A108" s="5">
        <v>89</v>
      </c>
      <c r="B108" s="6">
        <v>107</v>
      </c>
      <c r="C108" s="7" t="s">
        <v>19</v>
      </c>
      <c r="D108" s="26" t="s">
        <v>20</v>
      </c>
      <c r="E108" s="25" t="s">
        <v>170</v>
      </c>
      <c r="F108" s="26" t="s">
        <v>176</v>
      </c>
      <c r="G108" s="11">
        <v>1</v>
      </c>
      <c r="H108" s="11">
        <v>30</v>
      </c>
      <c r="I108" s="11">
        <v>30</v>
      </c>
      <c r="J108" s="10" t="s">
        <v>23</v>
      </c>
      <c r="K108" s="11">
        <f>H108*I108</f>
        <v>900</v>
      </c>
      <c r="L108" s="11">
        <v>160000</v>
      </c>
      <c r="M108" s="10">
        <f t="shared" si="10"/>
        <v>10800</v>
      </c>
      <c r="N108" s="10">
        <f t="shared" si="14"/>
        <v>4500</v>
      </c>
      <c r="O108" s="10">
        <f t="shared" si="8"/>
        <v>175300</v>
      </c>
      <c r="P108" s="10">
        <v>12.9183335</v>
      </c>
      <c r="Q108" s="10">
        <v>80.1769579</v>
      </c>
      <c r="R108" s="10" t="s">
        <v>55</v>
      </c>
      <c r="S108" s="10"/>
    </row>
    <row r="109" customHeight="1" spans="1:19">
      <c r="A109" s="5">
        <v>90</v>
      </c>
      <c r="B109" s="6">
        <v>108</v>
      </c>
      <c r="C109" s="7" t="s">
        <v>19</v>
      </c>
      <c r="D109" s="26" t="s">
        <v>20</v>
      </c>
      <c r="E109" s="25" t="s">
        <v>170</v>
      </c>
      <c r="F109" s="26" t="s">
        <v>177</v>
      </c>
      <c r="G109" s="11">
        <v>1</v>
      </c>
      <c r="H109" s="11">
        <v>30</v>
      </c>
      <c r="I109" s="11">
        <v>15</v>
      </c>
      <c r="J109" s="10" t="s">
        <v>23</v>
      </c>
      <c r="K109" s="11">
        <f>H109*I109</f>
        <v>450</v>
      </c>
      <c r="L109" s="11">
        <v>65000</v>
      </c>
      <c r="M109" s="10">
        <f t="shared" si="10"/>
        <v>5400</v>
      </c>
      <c r="N109" s="10">
        <f t="shared" si="14"/>
        <v>2250</v>
      </c>
      <c r="O109" s="10">
        <f t="shared" si="8"/>
        <v>72650</v>
      </c>
      <c r="P109" s="10">
        <v>12.9183335</v>
      </c>
      <c r="Q109" s="10">
        <v>80.1769579</v>
      </c>
      <c r="R109" s="10" t="s">
        <v>55</v>
      </c>
      <c r="S109" s="10"/>
    </row>
    <row r="110" customHeight="1" spans="1:19">
      <c r="A110" s="5">
        <v>91</v>
      </c>
      <c r="B110" s="6">
        <v>109</v>
      </c>
      <c r="C110" s="7" t="s">
        <v>19</v>
      </c>
      <c r="D110" s="7" t="s">
        <v>20</v>
      </c>
      <c r="E110" s="25" t="s">
        <v>170</v>
      </c>
      <c r="F110" s="7" t="s">
        <v>178</v>
      </c>
      <c r="G110" s="10">
        <v>1</v>
      </c>
      <c r="H110" s="10">
        <v>30</v>
      </c>
      <c r="I110" s="10">
        <v>25</v>
      </c>
      <c r="J110" s="10" t="s">
        <v>38</v>
      </c>
      <c r="K110" s="10">
        <v>750</v>
      </c>
      <c r="L110" s="10">
        <v>150000</v>
      </c>
      <c r="M110" s="10">
        <f t="shared" si="10"/>
        <v>9000</v>
      </c>
      <c r="N110" s="10">
        <f t="shared" si="14"/>
        <v>3750</v>
      </c>
      <c r="O110" s="10">
        <f t="shared" si="8"/>
        <v>162750</v>
      </c>
      <c r="P110" s="37">
        <v>12.92121</v>
      </c>
      <c r="Q110" s="10">
        <v>80.166758</v>
      </c>
      <c r="R110" s="10" t="s">
        <v>55</v>
      </c>
      <c r="S110" s="11"/>
    </row>
    <row r="111" ht="13.5" customHeight="1" spans="1:19">
      <c r="A111" s="5"/>
      <c r="B111" s="6">
        <v>110</v>
      </c>
      <c r="C111" s="7" t="s">
        <v>19</v>
      </c>
      <c r="D111" s="26" t="s">
        <v>27</v>
      </c>
      <c r="E111" s="25" t="s">
        <v>170</v>
      </c>
      <c r="F111" s="20" t="s">
        <v>179</v>
      </c>
      <c r="G111" s="22">
        <v>1</v>
      </c>
      <c r="H111" s="22">
        <v>50</v>
      </c>
      <c r="I111" s="21">
        <v>30</v>
      </c>
      <c r="J111" s="10" t="s">
        <v>23</v>
      </c>
      <c r="K111" s="22">
        <v>1500</v>
      </c>
      <c r="L111" s="11">
        <v>150000</v>
      </c>
      <c r="M111" s="10">
        <f t="shared" si="10"/>
        <v>18000</v>
      </c>
      <c r="N111" s="10">
        <f>K111*7</f>
        <v>10500</v>
      </c>
      <c r="O111" s="10">
        <f t="shared" si="8"/>
        <v>178500</v>
      </c>
      <c r="P111" s="22">
        <v>12.902738</v>
      </c>
      <c r="Q111" s="22">
        <v>80.18425</v>
      </c>
      <c r="R111" s="10" t="s">
        <v>55</v>
      </c>
      <c r="S111" s="10" t="s">
        <v>25</v>
      </c>
    </row>
    <row r="112" ht="13.5" customHeight="1" spans="1:19">
      <c r="A112" s="5"/>
      <c r="B112" s="6">
        <v>111</v>
      </c>
      <c r="C112" s="7" t="s">
        <v>19</v>
      </c>
      <c r="D112" s="26" t="s">
        <v>27</v>
      </c>
      <c r="E112" s="25" t="s">
        <v>170</v>
      </c>
      <c r="F112" s="20" t="s">
        <v>180</v>
      </c>
      <c r="G112" s="22">
        <v>1</v>
      </c>
      <c r="H112" s="22">
        <v>50</v>
      </c>
      <c r="I112" s="21">
        <v>30</v>
      </c>
      <c r="J112" s="10" t="s">
        <v>23</v>
      </c>
      <c r="K112" s="22">
        <v>1500</v>
      </c>
      <c r="L112" s="11">
        <v>150000</v>
      </c>
      <c r="M112" s="10">
        <f t="shared" si="10"/>
        <v>18000</v>
      </c>
      <c r="N112" s="10">
        <f>K112*7</f>
        <v>10500</v>
      </c>
      <c r="O112" s="10">
        <f t="shared" si="8"/>
        <v>178500</v>
      </c>
      <c r="P112" s="22">
        <v>12.902738</v>
      </c>
      <c r="Q112" s="22">
        <v>80.18425</v>
      </c>
      <c r="R112" s="10" t="s">
        <v>55</v>
      </c>
      <c r="S112" s="10" t="s">
        <v>25</v>
      </c>
    </row>
    <row r="113" ht="13.5" customHeight="1" spans="1:19">
      <c r="A113" s="5">
        <v>92</v>
      </c>
      <c r="B113" s="6">
        <v>112</v>
      </c>
      <c r="C113" s="7" t="s">
        <v>19</v>
      </c>
      <c r="D113" s="26" t="s">
        <v>20</v>
      </c>
      <c r="E113" s="25" t="s">
        <v>181</v>
      </c>
      <c r="F113" s="26" t="s">
        <v>182</v>
      </c>
      <c r="G113" s="11">
        <v>1</v>
      </c>
      <c r="H113" s="11">
        <v>25</v>
      </c>
      <c r="I113" s="11">
        <v>25</v>
      </c>
      <c r="J113" s="10" t="s">
        <v>23</v>
      </c>
      <c r="K113" s="11">
        <f>H113*I113</f>
        <v>625</v>
      </c>
      <c r="L113" s="11">
        <v>100000</v>
      </c>
      <c r="M113" s="10">
        <f t="shared" si="10"/>
        <v>7500</v>
      </c>
      <c r="N113" s="10">
        <f>K113*5</f>
        <v>3125</v>
      </c>
      <c r="O113" s="10">
        <f t="shared" si="8"/>
        <v>110625</v>
      </c>
      <c r="P113" s="10">
        <v>12.9138343</v>
      </c>
      <c r="Q113" s="10">
        <v>80.1949265</v>
      </c>
      <c r="R113" s="10" t="s">
        <v>24</v>
      </c>
      <c r="S113" s="11" t="s">
        <v>25</v>
      </c>
    </row>
    <row r="114" ht="13.5" customHeight="1" spans="1:19">
      <c r="A114" s="5">
        <v>93</v>
      </c>
      <c r="B114" s="6">
        <v>113</v>
      </c>
      <c r="C114" s="7" t="s">
        <v>19</v>
      </c>
      <c r="D114" s="26" t="s">
        <v>20</v>
      </c>
      <c r="E114" s="25" t="s">
        <v>183</v>
      </c>
      <c r="F114" s="26" t="s">
        <v>184</v>
      </c>
      <c r="G114" s="11">
        <v>1</v>
      </c>
      <c r="H114" s="11">
        <v>30</v>
      </c>
      <c r="I114" s="11">
        <v>30</v>
      </c>
      <c r="J114" s="11" t="s">
        <v>23</v>
      </c>
      <c r="K114" s="11">
        <f>H114*I114</f>
        <v>900</v>
      </c>
      <c r="L114" s="11">
        <v>100000</v>
      </c>
      <c r="M114" s="10">
        <f t="shared" si="10"/>
        <v>10800</v>
      </c>
      <c r="N114" s="10">
        <f>K114*5</f>
        <v>4500</v>
      </c>
      <c r="O114" s="10">
        <f t="shared" si="8"/>
        <v>115300</v>
      </c>
      <c r="P114" s="10">
        <v>12.8666891</v>
      </c>
      <c r="Q114" s="10">
        <v>80.1757869</v>
      </c>
      <c r="R114" s="10" t="s">
        <v>24</v>
      </c>
      <c r="S114" s="11" t="s">
        <v>25</v>
      </c>
    </row>
    <row r="115" ht="13.5" customHeight="1" spans="1:19">
      <c r="A115" s="5">
        <v>94</v>
      </c>
      <c r="B115" s="6">
        <v>114</v>
      </c>
      <c r="C115" s="7" t="s">
        <v>19</v>
      </c>
      <c r="D115" s="7" t="s">
        <v>20</v>
      </c>
      <c r="E115" s="8" t="s">
        <v>185</v>
      </c>
      <c r="F115" s="7" t="s">
        <v>186</v>
      </c>
      <c r="G115" s="10">
        <v>1</v>
      </c>
      <c r="H115" s="10">
        <v>20</v>
      </c>
      <c r="I115" s="10">
        <v>30</v>
      </c>
      <c r="J115" s="10" t="s">
        <v>23</v>
      </c>
      <c r="K115" s="10">
        <v>600</v>
      </c>
      <c r="L115" s="10">
        <v>150000</v>
      </c>
      <c r="M115" s="10">
        <f t="shared" si="10"/>
        <v>7200</v>
      </c>
      <c r="N115" s="10">
        <f>K115*5</f>
        <v>3000</v>
      </c>
      <c r="O115" s="10">
        <f t="shared" si="8"/>
        <v>160200</v>
      </c>
      <c r="P115" s="10">
        <v>12.9418676</v>
      </c>
      <c r="Q115" s="10">
        <v>80.2065588</v>
      </c>
      <c r="R115" s="10" t="s">
        <v>55</v>
      </c>
      <c r="S115" s="11" t="s">
        <v>25</v>
      </c>
    </row>
    <row r="116" ht="13.5" customHeight="1" spans="1:19">
      <c r="A116" s="5">
        <v>95</v>
      </c>
      <c r="B116" s="6">
        <v>115</v>
      </c>
      <c r="C116" s="7" t="s">
        <v>19</v>
      </c>
      <c r="D116" s="7" t="s">
        <v>20</v>
      </c>
      <c r="E116" s="8" t="s">
        <v>185</v>
      </c>
      <c r="F116" s="9" t="s">
        <v>187</v>
      </c>
      <c r="G116" s="10">
        <v>1</v>
      </c>
      <c r="H116" s="10">
        <v>35</v>
      </c>
      <c r="I116" s="10">
        <v>25</v>
      </c>
      <c r="J116" s="10" t="s">
        <v>23</v>
      </c>
      <c r="K116" s="10">
        <f>H116*I116</f>
        <v>875</v>
      </c>
      <c r="L116" s="10">
        <v>160000</v>
      </c>
      <c r="M116" s="10">
        <f t="shared" si="10"/>
        <v>10500</v>
      </c>
      <c r="N116" s="10">
        <f>K116*5</f>
        <v>4375</v>
      </c>
      <c r="O116" s="10">
        <f t="shared" si="8"/>
        <v>174875</v>
      </c>
      <c r="P116" s="10">
        <v>12.9418676</v>
      </c>
      <c r="Q116" s="10">
        <v>80.2065588</v>
      </c>
      <c r="R116" s="10" t="s">
        <v>55</v>
      </c>
      <c r="S116" s="11" t="s">
        <v>25</v>
      </c>
    </row>
    <row r="117" ht="13.5" customHeight="1" spans="1:19">
      <c r="A117" s="5">
        <v>96</v>
      </c>
      <c r="B117" s="6">
        <v>116</v>
      </c>
      <c r="C117" s="7" t="s">
        <v>19</v>
      </c>
      <c r="D117" s="7" t="s">
        <v>27</v>
      </c>
      <c r="E117" s="8" t="s">
        <v>188</v>
      </c>
      <c r="F117" s="7" t="s">
        <v>189</v>
      </c>
      <c r="G117" s="10">
        <v>1</v>
      </c>
      <c r="H117" s="10">
        <v>50</v>
      </c>
      <c r="I117" s="10">
        <v>30</v>
      </c>
      <c r="J117" s="10" t="s">
        <v>23</v>
      </c>
      <c r="K117" s="10">
        <f>H117*I117</f>
        <v>1500</v>
      </c>
      <c r="L117" s="10">
        <v>250000</v>
      </c>
      <c r="M117" s="10">
        <f t="shared" si="10"/>
        <v>18000</v>
      </c>
      <c r="N117" s="10">
        <f>K117*7</f>
        <v>10500</v>
      </c>
      <c r="O117" s="10">
        <f t="shared" si="8"/>
        <v>278500</v>
      </c>
      <c r="P117" s="11">
        <v>12.9509577</v>
      </c>
      <c r="Q117" s="11">
        <v>80.176445</v>
      </c>
      <c r="R117" s="10" t="s">
        <v>55</v>
      </c>
      <c r="S117" s="11" t="s">
        <v>25</v>
      </c>
    </row>
    <row r="118" ht="13.5" customHeight="1" spans="1:19">
      <c r="A118" s="5">
        <v>97</v>
      </c>
      <c r="B118" s="6">
        <v>117</v>
      </c>
      <c r="C118" s="7" t="s">
        <v>19</v>
      </c>
      <c r="D118" s="7" t="s">
        <v>27</v>
      </c>
      <c r="E118" s="8" t="s">
        <v>188</v>
      </c>
      <c r="F118" s="7" t="s">
        <v>190</v>
      </c>
      <c r="G118" s="10">
        <v>1</v>
      </c>
      <c r="H118" s="10">
        <v>50</v>
      </c>
      <c r="I118" s="10">
        <v>30</v>
      </c>
      <c r="J118" s="10" t="s">
        <v>23</v>
      </c>
      <c r="K118" s="10">
        <f>H118*I118</f>
        <v>1500</v>
      </c>
      <c r="L118" s="10">
        <v>250000</v>
      </c>
      <c r="M118" s="10">
        <f t="shared" si="10"/>
        <v>18000</v>
      </c>
      <c r="N118" s="10">
        <f>K118*7</f>
        <v>10500</v>
      </c>
      <c r="O118" s="10">
        <f t="shared" si="8"/>
        <v>278500</v>
      </c>
      <c r="P118" s="11">
        <v>12.9509577</v>
      </c>
      <c r="Q118" s="11">
        <v>80.176445</v>
      </c>
      <c r="R118" s="10" t="s">
        <v>55</v>
      </c>
      <c r="S118" s="11" t="s">
        <v>25</v>
      </c>
    </row>
    <row r="119" ht="13.5" customHeight="1" spans="1:19">
      <c r="A119" s="5">
        <v>98</v>
      </c>
      <c r="B119" s="6">
        <v>118</v>
      </c>
      <c r="C119" s="7" t="s">
        <v>19</v>
      </c>
      <c r="D119" s="26" t="s">
        <v>27</v>
      </c>
      <c r="E119" s="25" t="s">
        <v>188</v>
      </c>
      <c r="F119" s="26" t="s">
        <v>191</v>
      </c>
      <c r="G119" s="11">
        <v>1</v>
      </c>
      <c r="H119" s="11">
        <v>50</v>
      </c>
      <c r="I119" s="11">
        <v>30</v>
      </c>
      <c r="J119" s="10" t="s">
        <v>23</v>
      </c>
      <c r="K119" s="11">
        <f>H119*I119</f>
        <v>1500</v>
      </c>
      <c r="L119" s="11">
        <v>250000</v>
      </c>
      <c r="M119" s="10">
        <f t="shared" si="10"/>
        <v>18000</v>
      </c>
      <c r="N119" s="10">
        <f>K119*7</f>
        <v>10500</v>
      </c>
      <c r="O119" s="10">
        <f t="shared" si="8"/>
        <v>278500</v>
      </c>
      <c r="P119" s="10">
        <v>12.9528145</v>
      </c>
      <c r="Q119" s="10">
        <v>80.1669982</v>
      </c>
      <c r="R119" s="10" t="s">
        <v>55</v>
      </c>
      <c r="S119" s="10"/>
    </row>
    <row r="120" ht="13.5" customHeight="1" spans="1:19">
      <c r="A120" s="38">
        <v>99</v>
      </c>
      <c r="B120" s="6">
        <v>119</v>
      </c>
      <c r="C120" s="7" t="s">
        <v>19</v>
      </c>
      <c r="D120" s="26" t="s">
        <v>27</v>
      </c>
      <c r="E120" s="25" t="s">
        <v>188</v>
      </c>
      <c r="F120" s="12" t="s">
        <v>192</v>
      </c>
      <c r="G120" s="11">
        <v>1</v>
      </c>
      <c r="H120" s="11">
        <v>50</v>
      </c>
      <c r="I120" s="11">
        <v>30</v>
      </c>
      <c r="J120" s="10" t="s">
        <v>23</v>
      </c>
      <c r="K120" s="11">
        <f>H120*I120</f>
        <v>1500</v>
      </c>
      <c r="L120" s="11">
        <v>250000</v>
      </c>
      <c r="M120" s="10">
        <f t="shared" si="10"/>
        <v>18000</v>
      </c>
      <c r="N120" s="10">
        <f>K120*7</f>
        <v>10500</v>
      </c>
      <c r="O120" s="10">
        <f t="shared" si="8"/>
        <v>278500</v>
      </c>
      <c r="P120" s="10">
        <v>12.9528145</v>
      </c>
      <c r="Q120" s="10">
        <v>80.1669982</v>
      </c>
      <c r="R120" s="10" t="s">
        <v>55</v>
      </c>
      <c r="S120" s="10"/>
    </row>
    <row r="121" ht="12.75" spans="1:19">
      <c r="A121" s="5">
        <v>100</v>
      </c>
      <c r="B121" s="6">
        <v>120</v>
      </c>
      <c r="C121" s="7" t="s">
        <v>19</v>
      </c>
      <c r="D121" s="7" t="s">
        <v>20</v>
      </c>
      <c r="E121" s="8" t="s">
        <v>193</v>
      </c>
      <c r="F121" s="9" t="s">
        <v>194</v>
      </c>
      <c r="G121" s="10">
        <v>1</v>
      </c>
      <c r="H121" s="10">
        <v>20</v>
      </c>
      <c r="I121" s="10">
        <v>20</v>
      </c>
      <c r="J121" s="10" t="s">
        <v>38</v>
      </c>
      <c r="K121" s="10">
        <v>400</v>
      </c>
      <c r="L121" s="10">
        <v>200000</v>
      </c>
      <c r="M121" s="10">
        <f t="shared" si="10"/>
        <v>4800</v>
      </c>
      <c r="N121" s="10">
        <f>K121*5</f>
        <v>2000</v>
      </c>
      <c r="O121" s="10">
        <f t="shared" si="8"/>
        <v>206800</v>
      </c>
      <c r="P121" s="10">
        <v>13.0048308</v>
      </c>
      <c r="Q121" s="10">
        <v>80.2572508</v>
      </c>
      <c r="R121" s="39"/>
      <c r="S121" s="11"/>
    </row>
    <row r="122" customHeight="1" spans="1:19">
      <c r="A122" s="5"/>
      <c r="B122" s="6">
        <v>121</v>
      </c>
      <c r="C122" s="7" t="s">
        <v>19</v>
      </c>
      <c r="D122" s="7" t="s">
        <v>20</v>
      </c>
      <c r="E122" s="8" t="s">
        <v>195</v>
      </c>
      <c r="F122" s="7" t="s">
        <v>196</v>
      </c>
      <c r="G122" s="10">
        <v>1</v>
      </c>
      <c r="H122" s="10">
        <v>30</v>
      </c>
      <c r="I122" s="10">
        <v>25</v>
      </c>
      <c r="J122" s="10" t="s">
        <v>23</v>
      </c>
      <c r="K122" s="10">
        <f>H122*I122</f>
        <v>750</v>
      </c>
      <c r="L122" s="10">
        <v>350000</v>
      </c>
      <c r="M122" s="10">
        <f t="shared" si="10"/>
        <v>9000</v>
      </c>
      <c r="N122" s="10">
        <f>K122*5</f>
        <v>3750</v>
      </c>
      <c r="O122" s="10">
        <f t="shared" si="8"/>
        <v>362750</v>
      </c>
      <c r="P122" s="10">
        <v>12.983394</v>
      </c>
      <c r="Q122" s="10">
        <v>80.259404</v>
      </c>
      <c r="R122" s="10" t="s">
        <v>55</v>
      </c>
      <c r="S122" s="11"/>
    </row>
    <row r="123" customHeight="1" spans="1:19">
      <c r="A123" s="5">
        <v>101</v>
      </c>
      <c r="B123" s="6">
        <v>122</v>
      </c>
      <c r="C123" s="7" t="s">
        <v>19</v>
      </c>
      <c r="D123" s="7" t="s">
        <v>27</v>
      </c>
      <c r="E123" s="8" t="s">
        <v>197</v>
      </c>
      <c r="F123" s="9" t="s">
        <v>198</v>
      </c>
      <c r="G123" s="10">
        <v>1</v>
      </c>
      <c r="H123" s="10">
        <v>40</v>
      </c>
      <c r="I123" s="10">
        <v>25</v>
      </c>
      <c r="J123" s="10" t="s">
        <v>23</v>
      </c>
      <c r="K123" s="10">
        <v>1000</v>
      </c>
      <c r="L123" s="10">
        <v>200000</v>
      </c>
      <c r="M123" s="10">
        <f t="shared" si="10"/>
        <v>12000</v>
      </c>
      <c r="N123" s="10">
        <f>K123*7</f>
        <v>7000</v>
      </c>
      <c r="O123" s="10">
        <f t="shared" si="8"/>
        <v>219000</v>
      </c>
      <c r="P123" s="10">
        <v>12.79626</v>
      </c>
      <c r="Q123" s="10">
        <v>80.241108</v>
      </c>
      <c r="R123" s="10" t="s">
        <v>55</v>
      </c>
      <c r="S123" s="11" t="s">
        <v>25</v>
      </c>
    </row>
    <row r="124" customHeight="1" spans="1:19">
      <c r="A124" s="5">
        <v>102</v>
      </c>
      <c r="B124" s="6">
        <v>123</v>
      </c>
      <c r="C124" s="7" t="s">
        <v>19</v>
      </c>
      <c r="D124" s="7" t="s">
        <v>27</v>
      </c>
      <c r="E124" s="8" t="s">
        <v>197</v>
      </c>
      <c r="F124" s="7" t="s">
        <v>199</v>
      </c>
      <c r="G124" s="10">
        <v>1</v>
      </c>
      <c r="H124" s="10">
        <v>50</v>
      </c>
      <c r="I124" s="10">
        <v>30</v>
      </c>
      <c r="J124" s="10" t="s">
        <v>23</v>
      </c>
      <c r="K124" s="10">
        <v>1500</v>
      </c>
      <c r="L124" s="10">
        <v>225000</v>
      </c>
      <c r="M124" s="10">
        <f t="shared" si="10"/>
        <v>18000</v>
      </c>
      <c r="N124" s="10">
        <f>K124*7</f>
        <v>10500</v>
      </c>
      <c r="O124" s="10">
        <f t="shared" si="8"/>
        <v>253500</v>
      </c>
      <c r="P124" s="10">
        <v>12.849719</v>
      </c>
      <c r="Q124" s="10">
        <v>80.241052</v>
      </c>
      <c r="R124" s="10" t="s">
        <v>55</v>
      </c>
      <c r="S124" s="11" t="s">
        <v>25</v>
      </c>
    </row>
    <row r="125" customHeight="1" spans="1:19">
      <c r="A125" s="5">
        <v>103</v>
      </c>
      <c r="B125" s="6">
        <v>124</v>
      </c>
      <c r="C125" s="7" t="s">
        <v>19</v>
      </c>
      <c r="D125" s="7" t="s">
        <v>27</v>
      </c>
      <c r="E125" s="8" t="s">
        <v>197</v>
      </c>
      <c r="F125" s="7" t="s">
        <v>200</v>
      </c>
      <c r="G125" s="10">
        <v>1</v>
      </c>
      <c r="H125" s="10">
        <v>50</v>
      </c>
      <c r="I125" s="10">
        <v>30</v>
      </c>
      <c r="J125" s="10" t="s">
        <v>23</v>
      </c>
      <c r="K125" s="10">
        <v>1500</v>
      </c>
      <c r="L125" s="10">
        <v>225000</v>
      </c>
      <c r="M125" s="10">
        <f t="shared" si="10"/>
        <v>18000</v>
      </c>
      <c r="N125" s="10">
        <f>K125*7</f>
        <v>10500</v>
      </c>
      <c r="O125" s="10">
        <f t="shared" si="8"/>
        <v>253500</v>
      </c>
      <c r="P125" s="10">
        <v>12.848328</v>
      </c>
      <c r="Q125" s="10">
        <v>80.240819</v>
      </c>
      <c r="R125" s="10" t="s">
        <v>55</v>
      </c>
      <c r="S125" s="11" t="s">
        <v>25</v>
      </c>
    </row>
    <row r="126" customHeight="1" spans="1:19">
      <c r="A126" s="5">
        <v>104</v>
      </c>
      <c r="B126" s="6">
        <v>125</v>
      </c>
      <c r="C126" s="7" t="s">
        <v>19</v>
      </c>
      <c r="D126" s="7" t="s">
        <v>20</v>
      </c>
      <c r="E126" s="8" t="s">
        <v>197</v>
      </c>
      <c r="F126" s="7" t="s">
        <v>201</v>
      </c>
      <c r="G126" s="10">
        <v>1</v>
      </c>
      <c r="H126" s="10">
        <v>70</v>
      </c>
      <c r="I126" s="10">
        <v>30</v>
      </c>
      <c r="J126" s="10" t="s">
        <v>23</v>
      </c>
      <c r="K126" s="10">
        <v>2100</v>
      </c>
      <c r="L126" s="10">
        <v>250000</v>
      </c>
      <c r="M126" s="10">
        <f t="shared" si="10"/>
        <v>25200</v>
      </c>
      <c r="N126" s="10">
        <f>K126*5</f>
        <v>10500</v>
      </c>
      <c r="O126" s="10">
        <f t="shared" si="8"/>
        <v>285700</v>
      </c>
      <c r="P126" s="10">
        <v>12.796326</v>
      </c>
      <c r="Q126" s="10">
        <v>80.241254</v>
      </c>
      <c r="R126" s="10" t="s">
        <v>55</v>
      </c>
      <c r="S126" s="11" t="s">
        <v>25</v>
      </c>
    </row>
    <row r="127" customHeight="1" spans="1:19">
      <c r="A127" s="5">
        <v>105</v>
      </c>
      <c r="B127" s="6">
        <v>126</v>
      </c>
      <c r="C127" s="7" t="s">
        <v>19</v>
      </c>
      <c r="D127" s="7" t="s">
        <v>20</v>
      </c>
      <c r="E127" s="8" t="s">
        <v>197</v>
      </c>
      <c r="F127" s="7" t="s">
        <v>202</v>
      </c>
      <c r="G127" s="10">
        <v>1</v>
      </c>
      <c r="H127" s="10">
        <v>55</v>
      </c>
      <c r="I127" s="10">
        <v>25</v>
      </c>
      <c r="J127" s="10" t="s">
        <v>23</v>
      </c>
      <c r="K127" s="10">
        <v>1375</v>
      </c>
      <c r="L127" s="10">
        <v>175000</v>
      </c>
      <c r="M127" s="10">
        <f t="shared" si="10"/>
        <v>16500</v>
      </c>
      <c r="N127" s="10">
        <f>K127*5</f>
        <v>6875</v>
      </c>
      <c r="O127" s="10">
        <f t="shared" si="8"/>
        <v>198375</v>
      </c>
      <c r="P127" s="10">
        <v>12.796263</v>
      </c>
      <c r="Q127" s="10">
        <v>80.241258</v>
      </c>
      <c r="R127" s="10" t="s">
        <v>55</v>
      </c>
      <c r="S127" s="11" t="s">
        <v>25</v>
      </c>
    </row>
    <row r="128" customHeight="1" spans="1:19">
      <c r="A128" s="5">
        <v>106</v>
      </c>
      <c r="B128" s="6">
        <v>127</v>
      </c>
      <c r="C128" s="7" t="s">
        <v>19</v>
      </c>
      <c r="D128" s="7" t="s">
        <v>27</v>
      </c>
      <c r="E128" s="8" t="s">
        <v>197</v>
      </c>
      <c r="F128" s="7" t="s">
        <v>203</v>
      </c>
      <c r="G128" s="10">
        <v>1</v>
      </c>
      <c r="H128" s="10">
        <v>40</v>
      </c>
      <c r="I128" s="10">
        <v>25</v>
      </c>
      <c r="J128" s="10" t="s">
        <v>23</v>
      </c>
      <c r="K128" s="10">
        <v>1000</v>
      </c>
      <c r="L128" s="10">
        <v>175000</v>
      </c>
      <c r="M128" s="10">
        <f t="shared" si="10"/>
        <v>12000</v>
      </c>
      <c r="N128" s="10">
        <f>K128*7</f>
        <v>7000</v>
      </c>
      <c r="O128" s="10">
        <f t="shared" si="8"/>
        <v>194000</v>
      </c>
      <c r="P128" s="10">
        <v>12.821114</v>
      </c>
      <c r="Q128" s="10">
        <v>80.24029</v>
      </c>
      <c r="R128" s="10" t="s">
        <v>55</v>
      </c>
      <c r="S128" s="11" t="s">
        <v>25</v>
      </c>
    </row>
    <row r="129" customHeight="1" spans="1:19">
      <c r="A129" s="5">
        <v>107</v>
      </c>
      <c r="B129" s="6">
        <v>128</v>
      </c>
      <c r="C129" s="7" t="s">
        <v>19</v>
      </c>
      <c r="D129" s="7" t="s">
        <v>27</v>
      </c>
      <c r="E129" s="8" t="s">
        <v>197</v>
      </c>
      <c r="F129" s="7" t="s">
        <v>204</v>
      </c>
      <c r="G129" s="10">
        <v>1</v>
      </c>
      <c r="H129" s="10">
        <v>40</v>
      </c>
      <c r="I129" s="10">
        <v>25</v>
      </c>
      <c r="J129" s="10" t="s">
        <v>23</v>
      </c>
      <c r="K129" s="10">
        <v>1000</v>
      </c>
      <c r="L129" s="10">
        <v>175000</v>
      </c>
      <c r="M129" s="10">
        <f t="shared" si="10"/>
        <v>12000</v>
      </c>
      <c r="N129" s="10">
        <f>K129*7</f>
        <v>7000</v>
      </c>
      <c r="O129" s="10">
        <f t="shared" si="8"/>
        <v>194000</v>
      </c>
      <c r="P129" s="10">
        <v>12.819376</v>
      </c>
      <c r="Q129" s="10">
        <v>80.240389</v>
      </c>
      <c r="R129" s="10" t="s">
        <v>55</v>
      </c>
      <c r="S129" s="11" t="s">
        <v>25</v>
      </c>
    </row>
    <row r="130" customHeight="1" spans="1:19">
      <c r="A130" s="5">
        <v>108</v>
      </c>
      <c r="B130" s="6">
        <v>129</v>
      </c>
      <c r="C130" s="7" t="s">
        <v>19</v>
      </c>
      <c r="D130" s="7" t="s">
        <v>20</v>
      </c>
      <c r="E130" s="8" t="s">
        <v>197</v>
      </c>
      <c r="F130" s="7" t="s">
        <v>205</v>
      </c>
      <c r="G130" s="10">
        <v>1</v>
      </c>
      <c r="H130" s="10">
        <v>35</v>
      </c>
      <c r="I130" s="10">
        <v>30</v>
      </c>
      <c r="J130" s="10" t="s">
        <v>23</v>
      </c>
      <c r="K130" s="10">
        <f>H130*I130</f>
        <v>1050</v>
      </c>
      <c r="L130" s="10">
        <f>K130*120</f>
        <v>126000</v>
      </c>
      <c r="M130" s="10">
        <f t="shared" si="10"/>
        <v>12600</v>
      </c>
      <c r="N130" s="10">
        <f>K130*5</f>
        <v>5250</v>
      </c>
      <c r="O130" s="10">
        <f t="shared" ref="O130:O192" si="15">SUM(L130:N130)</f>
        <v>143850</v>
      </c>
      <c r="P130" s="10">
        <v>12.846968</v>
      </c>
      <c r="Q130" s="10">
        <v>80.24082</v>
      </c>
      <c r="R130" s="10" t="s">
        <v>55</v>
      </c>
      <c r="S130" s="11" t="s">
        <v>25</v>
      </c>
    </row>
    <row r="131" customHeight="1" spans="1:19">
      <c r="A131" s="5">
        <v>109</v>
      </c>
      <c r="B131" s="6">
        <v>130</v>
      </c>
      <c r="C131" s="7" t="s">
        <v>19</v>
      </c>
      <c r="D131" s="7" t="s">
        <v>27</v>
      </c>
      <c r="E131" s="8" t="s">
        <v>197</v>
      </c>
      <c r="F131" s="7" t="s">
        <v>206</v>
      </c>
      <c r="G131" s="10">
        <v>1</v>
      </c>
      <c r="H131" s="10">
        <v>60</v>
      </c>
      <c r="I131" s="10">
        <v>30</v>
      </c>
      <c r="J131" s="10" t="s">
        <v>23</v>
      </c>
      <c r="K131" s="10">
        <f>H131*I131</f>
        <v>1800</v>
      </c>
      <c r="L131" s="10">
        <v>198000</v>
      </c>
      <c r="M131" s="10">
        <f t="shared" si="10"/>
        <v>21600</v>
      </c>
      <c r="N131" s="10">
        <f t="shared" ref="N131:N141" si="16">K131*7</f>
        <v>12600</v>
      </c>
      <c r="O131" s="10">
        <f t="shared" si="15"/>
        <v>232200</v>
      </c>
      <c r="P131" s="10">
        <v>12.7781039</v>
      </c>
      <c r="Q131" s="10">
        <v>80.2485355</v>
      </c>
      <c r="R131" s="10" t="s">
        <v>55</v>
      </c>
      <c r="S131" s="11" t="s">
        <v>25</v>
      </c>
    </row>
    <row r="132" customHeight="1" spans="1:19">
      <c r="A132" s="5">
        <v>110</v>
      </c>
      <c r="B132" s="6">
        <v>131</v>
      </c>
      <c r="C132" s="7" t="s">
        <v>19</v>
      </c>
      <c r="D132" s="7" t="s">
        <v>27</v>
      </c>
      <c r="E132" s="8" t="s">
        <v>197</v>
      </c>
      <c r="F132" s="7" t="s">
        <v>207</v>
      </c>
      <c r="G132" s="10">
        <v>1</v>
      </c>
      <c r="H132" s="10">
        <v>40</v>
      </c>
      <c r="I132" s="10">
        <v>30</v>
      </c>
      <c r="J132" s="10" t="s">
        <v>23</v>
      </c>
      <c r="K132" s="10">
        <v>1200</v>
      </c>
      <c r="L132" s="10">
        <v>275000</v>
      </c>
      <c r="M132" s="10">
        <f t="shared" si="10"/>
        <v>14400</v>
      </c>
      <c r="N132" s="10">
        <f t="shared" si="16"/>
        <v>8400</v>
      </c>
      <c r="O132" s="10">
        <f t="shared" si="15"/>
        <v>297800</v>
      </c>
      <c r="P132" s="10">
        <v>12.896915</v>
      </c>
      <c r="Q132" s="10">
        <v>80.24717</v>
      </c>
      <c r="R132" s="10" t="s">
        <v>55</v>
      </c>
      <c r="S132" s="11" t="s">
        <v>25</v>
      </c>
    </row>
    <row r="133" customHeight="1" spans="1:19">
      <c r="A133" s="5">
        <v>111</v>
      </c>
      <c r="B133" s="6">
        <v>132</v>
      </c>
      <c r="C133" s="7" t="s">
        <v>19</v>
      </c>
      <c r="D133" s="7" t="s">
        <v>27</v>
      </c>
      <c r="E133" s="8" t="s">
        <v>197</v>
      </c>
      <c r="F133" s="7" t="s">
        <v>208</v>
      </c>
      <c r="G133" s="10">
        <v>1</v>
      </c>
      <c r="H133" s="10">
        <v>40</v>
      </c>
      <c r="I133" s="10">
        <v>30</v>
      </c>
      <c r="J133" s="10" t="s">
        <v>23</v>
      </c>
      <c r="K133" s="10">
        <v>1200</v>
      </c>
      <c r="L133" s="10">
        <v>275000</v>
      </c>
      <c r="M133" s="10">
        <f t="shared" si="10"/>
        <v>14400</v>
      </c>
      <c r="N133" s="10">
        <f t="shared" si="16"/>
        <v>8400</v>
      </c>
      <c r="O133" s="10">
        <f t="shared" si="15"/>
        <v>297800</v>
      </c>
      <c r="P133" s="10">
        <v>12.896915</v>
      </c>
      <c r="Q133" s="10">
        <v>80.24717</v>
      </c>
      <c r="R133" s="10" t="s">
        <v>55</v>
      </c>
      <c r="S133" s="11" t="s">
        <v>25</v>
      </c>
    </row>
    <row r="134" customHeight="1" spans="1:19">
      <c r="A134" s="5">
        <v>112</v>
      </c>
      <c r="B134" s="6">
        <v>133</v>
      </c>
      <c r="C134" s="7" t="s">
        <v>19</v>
      </c>
      <c r="D134" s="7" t="s">
        <v>27</v>
      </c>
      <c r="E134" s="8" t="s">
        <v>197</v>
      </c>
      <c r="F134" s="7" t="s">
        <v>209</v>
      </c>
      <c r="G134" s="10">
        <v>1</v>
      </c>
      <c r="H134" s="10">
        <v>40</v>
      </c>
      <c r="I134" s="10">
        <v>25</v>
      </c>
      <c r="J134" s="10" t="s">
        <v>23</v>
      </c>
      <c r="K134" s="10">
        <v>1000</v>
      </c>
      <c r="L134" s="10">
        <v>200000</v>
      </c>
      <c r="M134" s="10">
        <f t="shared" si="10"/>
        <v>12000</v>
      </c>
      <c r="N134" s="10">
        <f t="shared" si="16"/>
        <v>7000</v>
      </c>
      <c r="O134" s="10">
        <f t="shared" si="15"/>
        <v>219000</v>
      </c>
      <c r="P134" s="10">
        <v>12.8108103</v>
      </c>
      <c r="Q134" s="10">
        <v>80.2433175</v>
      </c>
      <c r="R134" s="10" t="s">
        <v>55</v>
      </c>
      <c r="S134" s="11" t="s">
        <v>25</v>
      </c>
    </row>
    <row r="135" customHeight="1" spans="1:19">
      <c r="A135" s="5">
        <v>113</v>
      </c>
      <c r="B135" s="6">
        <v>134</v>
      </c>
      <c r="C135" s="7" t="s">
        <v>19</v>
      </c>
      <c r="D135" s="7" t="s">
        <v>27</v>
      </c>
      <c r="E135" s="8" t="s">
        <v>197</v>
      </c>
      <c r="F135" s="7" t="s">
        <v>210</v>
      </c>
      <c r="G135" s="10">
        <v>1</v>
      </c>
      <c r="H135" s="10">
        <v>40</v>
      </c>
      <c r="I135" s="10">
        <v>25</v>
      </c>
      <c r="J135" s="10" t="s">
        <v>23</v>
      </c>
      <c r="K135" s="10">
        <v>1000</v>
      </c>
      <c r="L135" s="10">
        <v>200000</v>
      </c>
      <c r="M135" s="10">
        <f t="shared" si="10"/>
        <v>12000</v>
      </c>
      <c r="N135" s="10">
        <f t="shared" si="16"/>
        <v>7000</v>
      </c>
      <c r="O135" s="10">
        <f t="shared" si="15"/>
        <v>219000</v>
      </c>
      <c r="P135" s="10">
        <v>12.8108103</v>
      </c>
      <c r="Q135" s="10">
        <v>80.2433175</v>
      </c>
      <c r="R135" s="10" t="s">
        <v>55</v>
      </c>
      <c r="S135" s="11" t="s">
        <v>25</v>
      </c>
    </row>
    <row r="136" customHeight="1" spans="1:19">
      <c r="A136" s="5">
        <v>114</v>
      </c>
      <c r="B136" s="6">
        <v>135</v>
      </c>
      <c r="C136" s="7" t="s">
        <v>19</v>
      </c>
      <c r="D136" s="26" t="s">
        <v>27</v>
      </c>
      <c r="E136" s="25" t="s">
        <v>197</v>
      </c>
      <c r="F136" s="26" t="s">
        <v>211</v>
      </c>
      <c r="G136" s="11">
        <v>1</v>
      </c>
      <c r="H136" s="11">
        <v>50</v>
      </c>
      <c r="I136" s="11">
        <v>30</v>
      </c>
      <c r="J136" s="11" t="s">
        <v>38</v>
      </c>
      <c r="K136" s="11">
        <f>H136*I136</f>
        <v>1500</v>
      </c>
      <c r="L136" s="11">
        <v>150000</v>
      </c>
      <c r="M136" s="10">
        <f t="shared" si="10"/>
        <v>18000</v>
      </c>
      <c r="N136" s="10">
        <f t="shared" si="16"/>
        <v>10500</v>
      </c>
      <c r="O136" s="10">
        <f t="shared" si="15"/>
        <v>178500</v>
      </c>
      <c r="P136" s="10">
        <v>12.8554566</v>
      </c>
      <c r="Q136" s="10">
        <v>80.2415314</v>
      </c>
      <c r="R136" s="10"/>
      <c r="S136" s="10"/>
    </row>
    <row r="137" customHeight="1" spans="1:19">
      <c r="A137" s="5">
        <v>115</v>
      </c>
      <c r="B137" s="6">
        <v>136</v>
      </c>
      <c r="C137" s="7" t="s">
        <v>19</v>
      </c>
      <c r="D137" s="26" t="s">
        <v>27</v>
      </c>
      <c r="E137" s="25" t="s">
        <v>197</v>
      </c>
      <c r="F137" s="26" t="s">
        <v>212</v>
      </c>
      <c r="G137" s="11">
        <v>1</v>
      </c>
      <c r="H137" s="11">
        <v>50</v>
      </c>
      <c r="I137" s="11">
        <v>30</v>
      </c>
      <c r="J137" s="11" t="s">
        <v>38</v>
      </c>
      <c r="K137" s="11">
        <f>H137*I137</f>
        <v>1500</v>
      </c>
      <c r="L137" s="11">
        <v>150000</v>
      </c>
      <c r="M137" s="10">
        <f t="shared" si="10"/>
        <v>18000</v>
      </c>
      <c r="N137" s="10">
        <f t="shared" si="16"/>
        <v>10500</v>
      </c>
      <c r="O137" s="10">
        <f t="shared" si="15"/>
        <v>178500</v>
      </c>
      <c r="P137" s="10">
        <v>12.855273</v>
      </c>
      <c r="Q137" s="10">
        <v>80.2415214</v>
      </c>
      <c r="R137" s="10"/>
      <c r="S137" s="10"/>
    </row>
    <row r="138" customHeight="1" spans="1:19">
      <c r="A138" s="5">
        <v>116</v>
      </c>
      <c r="B138" s="6">
        <v>137</v>
      </c>
      <c r="C138" s="7" t="s">
        <v>19</v>
      </c>
      <c r="D138" s="7" t="s">
        <v>27</v>
      </c>
      <c r="E138" s="8" t="s">
        <v>213</v>
      </c>
      <c r="F138" s="7" t="s">
        <v>214</v>
      </c>
      <c r="G138" s="10">
        <v>1</v>
      </c>
      <c r="H138" s="10">
        <v>40</v>
      </c>
      <c r="I138" s="10">
        <v>25</v>
      </c>
      <c r="J138" s="10" t="s">
        <v>23</v>
      </c>
      <c r="K138" s="10">
        <v>1000</v>
      </c>
      <c r="L138" s="10">
        <v>200000</v>
      </c>
      <c r="M138" s="10">
        <f t="shared" si="10"/>
        <v>12000</v>
      </c>
      <c r="N138" s="10">
        <f t="shared" si="16"/>
        <v>7000</v>
      </c>
      <c r="O138" s="10">
        <f t="shared" si="15"/>
        <v>219000</v>
      </c>
      <c r="P138" s="10">
        <v>13.1174828</v>
      </c>
      <c r="Q138" s="10">
        <v>80.0952396</v>
      </c>
      <c r="R138" s="10" t="s">
        <v>55</v>
      </c>
      <c r="S138" s="11" t="s">
        <v>25</v>
      </c>
    </row>
    <row r="139" customHeight="1" spans="1:19">
      <c r="A139" s="5">
        <v>117</v>
      </c>
      <c r="B139" s="6">
        <v>138</v>
      </c>
      <c r="C139" s="7" t="s">
        <v>19</v>
      </c>
      <c r="D139" s="7" t="s">
        <v>27</v>
      </c>
      <c r="E139" s="8" t="s">
        <v>213</v>
      </c>
      <c r="F139" s="7" t="s">
        <v>215</v>
      </c>
      <c r="G139" s="10">
        <v>1</v>
      </c>
      <c r="H139" s="10">
        <v>40</v>
      </c>
      <c r="I139" s="10">
        <v>25</v>
      </c>
      <c r="J139" s="10" t="s">
        <v>23</v>
      </c>
      <c r="K139" s="10">
        <v>1000</v>
      </c>
      <c r="L139" s="10">
        <v>200000</v>
      </c>
      <c r="M139" s="10">
        <f t="shared" ref="M139:M192" si="17">K139*12</f>
        <v>12000</v>
      </c>
      <c r="N139" s="10">
        <f t="shared" si="16"/>
        <v>7000</v>
      </c>
      <c r="O139" s="10">
        <f t="shared" si="15"/>
        <v>219000</v>
      </c>
      <c r="P139" s="10">
        <v>13.1174828</v>
      </c>
      <c r="Q139" s="10">
        <v>80.0952396</v>
      </c>
      <c r="R139" s="10" t="s">
        <v>55</v>
      </c>
      <c r="S139" s="11" t="s">
        <v>25</v>
      </c>
    </row>
    <row r="140" customHeight="1" spans="1:19">
      <c r="A140" s="5">
        <v>118</v>
      </c>
      <c r="B140" s="6">
        <v>139</v>
      </c>
      <c r="C140" s="7" t="s">
        <v>19</v>
      </c>
      <c r="D140" s="26" t="s">
        <v>27</v>
      </c>
      <c r="E140" s="25" t="s">
        <v>213</v>
      </c>
      <c r="F140" s="27" t="s">
        <v>216</v>
      </c>
      <c r="G140" s="11">
        <v>1</v>
      </c>
      <c r="H140" s="11">
        <v>30</v>
      </c>
      <c r="I140" s="11">
        <v>30</v>
      </c>
      <c r="J140" s="10" t="s">
        <v>23</v>
      </c>
      <c r="K140" s="11">
        <f>H140*I140</f>
        <v>900</v>
      </c>
      <c r="L140" s="11">
        <v>130000</v>
      </c>
      <c r="M140" s="10">
        <f t="shared" si="17"/>
        <v>10800</v>
      </c>
      <c r="N140" s="10">
        <f t="shared" si="16"/>
        <v>6300</v>
      </c>
      <c r="O140" s="10">
        <f t="shared" si="15"/>
        <v>147100</v>
      </c>
      <c r="P140" s="10">
        <v>13.1053909</v>
      </c>
      <c r="Q140" s="10">
        <v>80.1084325</v>
      </c>
      <c r="R140" s="10" t="s">
        <v>24</v>
      </c>
      <c r="S140" s="11" t="s">
        <v>25</v>
      </c>
    </row>
    <row r="141" customHeight="1" spans="1:19">
      <c r="A141" s="5">
        <v>119</v>
      </c>
      <c r="B141" s="6">
        <v>140</v>
      </c>
      <c r="C141" s="7" t="s">
        <v>19</v>
      </c>
      <c r="D141" s="26" t="s">
        <v>27</v>
      </c>
      <c r="E141" s="25" t="s">
        <v>213</v>
      </c>
      <c r="F141" s="26" t="s">
        <v>217</v>
      </c>
      <c r="G141" s="11">
        <v>1</v>
      </c>
      <c r="H141" s="11">
        <v>30</v>
      </c>
      <c r="I141" s="11">
        <v>30</v>
      </c>
      <c r="J141" s="10" t="s">
        <v>23</v>
      </c>
      <c r="K141" s="11">
        <f>H141*I141</f>
        <v>900</v>
      </c>
      <c r="L141" s="11">
        <v>130000</v>
      </c>
      <c r="M141" s="10">
        <f t="shared" si="17"/>
        <v>10800</v>
      </c>
      <c r="N141" s="10">
        <f t="shared" si="16"/>
        <v>6300</v>
      </c>
      <c r="O141" s="10">
        <f t="shared" si="15"/>
        <v>147100</v>
      </c>
      <c r="P141" s="10">
        <v>13.1053909</v>
      </c>
      <c r="Q141" s="10">
        <v>80.1084325</v>
      </c>
      <c r="R141" s="10" t="s">
        <v>24</v>
      </c>
      <c r="S141" s="11" t="s">
        <v>25</v>
      </c>
    </row>
    <row r="142" ht="13.5" customHeight="1" spans="1:19">
      <c r="A142" s="5">
        <v>120</v>
      </c>
      <c r="B142" s="6">
        <v>141</v>
      </c>
      <c r="C142" s="7" t="s">
        <v>19</v>
      </c>
      <c r="D142" s="7" t="s">
        <v>20</v>
      </c>
      <c r="E142" s="8" t="s">
        <v>218</v>
      </c>
      <c r="F142" s="7" t="s">
        <v>219</v>
      </c>
      <c r="G142" s="10">
        <v>1</v>
      </c>
      <c r="H142" s="10">
        <v>30</v>
      </c>
      <c r="I142" s="10">
        <v>30</v>
      </c>
      <c r="J142" s="10" t="s">
        <v>38</v>
      </c>
      <c r="K142" s="10">
        <v>900</v>
      </c>
      <c r="L142" s="10">
        <v>125000</v>
      </c>
      <c r="M142" s="10">
        <f t="shared" si="17"/>
        <v>10800</v>
      </c>
      <c r="N142" s="10">
        <f t="shared" ref="N142:N154" si="18">K142*5</f>
        <v>4500</v>
      </c>
      <c r="O142" s="10">
        <f t="shared" si="15"/>
        <v>140300</v>
      </c>
      <c r="P142" s="10">
        <v>13.130762</v>
      </c>
      <c r="Q142" s="10">
        <v>80.134642</v>
      </c>
      <c r="R142" s="10"/>
      <c r="S142" s="11"/>
    </row>
    <row r="143" customHeight="1" spans="1:19">
      <c r="A143" s="5">
        <v>121</v>
      </c>
      <c r="B143" s="6">
        <v>142</v>
      </c>
      <c r="C143" s="7" t="s">
        <v>19</v>
      </c>
      <c r="D143" s="7" t="s">
        <v>20</v>
      </c>
      <c r="E143" s="8" t="s">
        <v>220</v>
      </c>
      <c r="F143" s="7" t="s">
        <v>221</v>
      </c>
      <c r="G143" s="10">
        <v>1</v>
      </c>
      <c r="H143" s="10">
        <v>35</v>
      </c>
      <c r="I143" s="10">
        <v>25</v>
      </c>
      <c r="J143" s="10" t="s">
        <v>23</v>
      </c>
      <c r="K143" s="10">
        <v>875</v>
      </c>
      <c r="L143" s="10">
        <v>200000</v>
      </c>
      <c r="M143" s="10">
        <f t="shared" si="17"/>
        <v>10500</v>
      </c>
      <c r="N143" s="10">
        <f t="shared" si="18"/>
        <v>4375</v>
      </c>
      <c r="O143" s="10">
        <f t="shared" si="15"/>
        <v>214875</v>
      </c>
      <c r="P143" s="10">
        <v>13.1404158</v>
      </c>
      <c r="Q143" s="10">
        <v>80.2183769</v>
      </c>
      <c r="R143" s="10" t="s">
        <v>55</v>
      </c>
      <c r="S143" s="11" t="s">
        <v>25</v>
      </c>
    </row>
    <row r="144" ht="13.5" customHeight="1" spans="1:19">
      <c r="A144" s="5">
        <v>122</v>
      </c>
      <c r="B144" s="6">
        <v>143</v>
      </c>
      <c r="C144" s="7" t="s">
        <v>19</v>
      </c>
      <c r="D144" s="7" t="s">
        <v>20</v>
      </c>
      <c r="E144" s="8" t="s">
        <v>222</v>
      </c>
      <c r="F144" s="7" t="s">
        <v>223</v>
      </c>
      <c r="G144" s="10">
        <v>1</v>
      </c>
      <c r="H144" s="10">
        <v>25</v>
      </c>
      <c r="I144" s="10">
        <v>25</v>
      </c>
      <c r="J144" s="10" t="s">
        <v>23</v>
      </c>
      <c r="K144" s="10">
        <v>625</v>
      </c>
      <c r="L144" s="10">
        <v>200000</v>
      </c>
      <c r="M144" s="10">
        <f t="shared" si="17"/>
        <v>7500</v>
      </c>
      <c r="N144" s="10">
        <f t="shared" si="18"/>
        <v>3125</v>
      </c>
      <c r="O144" s="10">
        <f t="shared" si="15"/>
        <v>210625</v>
      </c>
      <c r="P144" s="10">
        <v>13.119646</v>
      </c>
      <c r="Q144" s="10">
        <v>80.255538</v>
      </c>
      <c r="R144" s="10" t="s">
        <v>55</v>
      </c>
      <c r="S144" s="11" t="s">
        <v>25</v>
      </c>
    </row>
    <row r="145" ht="13.5" customHeight="1" spans="1:19">
      <c r="A145" s="5">
        <v>124</v>
      </c>
      <c r="B145" s="6">
        <v>144</v>
      </c>
      <c r="C145" s="7" t="s">
        <v>19</v>
      </c>
      <c r="D145" s="7" t="s">
        <v>20</v>
      </c>
      <c r="E145" s="8" t="s">
        <v>224</v>
      </c>
      <c r="F145" s="7" t="s">
        <v>225</v>
      </c>
      <c r="G145" s="10">
        <v>1</v>
      </c>
      <c r="H145" s="10">
        <v>30</v>
      </c>
      <c r="I145" s="10">
        <v>20</v>
      </c>
      <c r="J145" s="10" t="s">
        <v>23</v>
      </c>
      <c r="K145" s="10">
        <v>600</v>
      </c>
      <c r="L145" s="10">
        <v>150000</v>
      </c>
      <c r="M145" s="10">
        <f t="shared" si="17"/>
        <v>7200</v>
      </c>
      <c r="N145" s="10">
        <f t="shared" si="18"/>
        <v>3000</v>
      </c>
      <c r="O145" s="10">
        <f t="shared" si="15"/>
        <v>160200</v>
      </c>
      <c r="P145" s="10">
        <v>13.122857</v>
      </c>
      <c r="Q145" s="10">
        <v>80.223105</v>
      </c>
      <c r="R145" s="10" t="s">
        <v>55</v>
      </c>
      <c r="S145" s="11" t="s">
        <v>25</v>
      </c>
    </row>
    <row r="146" ht="13.5" customHeight="1" spans="1:19">
      <c r="A146" s="5">
        <v>125</v>
      </c>
      <c r="B146" s="6">
        <v>145</v>
      </c>
      <c r="C146" s="7" t="s">
        <v>19</v>
      </c>
      <c r="D146" s="7" t="s">
        <v>20</v>
      </c>
      <c r="E146" s="8" t="s">
        <v>224</v>
      </c>
      <c r="F146" s="7" t="s">
        <v>226</v>
      </c>
      <c r="G146" s="10">
        <v>1</v>
      </c>
      <c r="H146" s="10">
        <v>20</v>
      </c>
      <c r="I146" s="10">
        <v>20</v>
      </c>
      <c r="J146" s="10" t="s">
        <v>23</v>
      </c>
      <c r="K146" s="10">
        <v>400</v>
      </c>
      <c r="L146" s="10">
        <v>100000</v>
      </c>
      <c r="M146" s="10">
        <f t="shared" si="17"/>
        <v>4800</v>
      </c>
      <c r="N146" s="10">
        <f t="shared" si="18"/>
        <v>2000</v>
      </c>
      <c r="O146" s="10">
        <f t="shared" si="15"/>
        <v>106800</v>
      </c>
      <c r="P146" s="10">
        <v>13.121656</v>
      </c>
      <c r="Q146" s="10">
        <v>80.223824</v>
      </c>
      <c r="R146" s="10" t="s">
        <v>55</v>
      </c>
      <c r="S146" s="11" t="s">
        <v>25</v>
      </c>
    </row>
    <row r="147" customHeight="1" spans="1:19">
      <c r="A147" s="5">
        <v>126</v>
      </c>
      <c r="B147" s="6">
        <v>146</v>
      </c>
      <c r="C147" s="7" t="s">
        <v>19</v>
      </c>
      <c r="D147" s="7" t="s">
        <v>20</v>
      </c>
      <c r="E147" s="8" t="s">
        <v>227</v>
      </c>
      <c r="F147" s="7" t="s">
        <v>228</v>
      </c>
      <c r="G147" s="10">
        <v>1</v>
      </c>
      <c r="H147" s="10">
        <v>30</v>
      </c>
      <c r="I147" s="10">
        <v>20</v>
      </c>
      <c r="J147" s="10" t="s">
        <v>23</v>
      </c>
      <c r="K147" s="10">
        <v>600</v>
      </c>
      <c r="L147" s="10">
        <v>125000</v>
      </c>
      <c r="M147" s="10">
        <f t="shared" si="17"/>
        <v>7200</v>
      </c>
      <c r="N147" s="10">
        <f t="shared" si="18"/>
        <v>3000</v>
      </c>
      <c r="O147" s="10">
        <f t="shared" si="15"/>
        <v>135200</v>
      </c>
      <c r="P147" s="10">
        <v>13.124696</v>
      </c>
      <c r="Q147" s="10">
        <v>80.152173</v>
      </c>
      <c r="R147" s="10" t="s">
        <v>55</v>
      </c>
      <c r="S147" s="11" t="s">
        <v>25</v>
      </c>
    </row>
    <row r="148" customHeight="1" spans="1:19">
      <c r="A148" s="5">
        <v>128</v>
      </c>
      <c r="B148" s="6">
        <v>147</v>
      </c>
      <c r="C148" s="7" t="s">
        <v>19</v>
      </c>
      <c r="D148" s="26" t="s">
        <v>20</v>
      </c>
      <c r="E148" s="25" t="s">
        <v>227</v>
      </c>
      <c r="F148" s="26" t="s">
        <v>229</v>
      </c>
      <c r="G148" s="11">
        <v>1</v>
      </c>
      <c r="H148" s="11">
        <v>30</v>
      </c>
      <c r="I148" s="11">
        <v>30</v>
      </c>
      <c r="J148" s="11" t="s">
        <v>38</v>
      </c>
      <c r="K148" s="11">
        <f>H148*I148</f>
        <v>900</v>
      </c>
      <c r="L148" s="11">
        <v>125000</v>
      </c>
      <c r="M148" s="10">
        <f t="shared" si="17"/>
        <v>10800</v>
      </c>
      <c r="N148" s="10">
        <f t="shared" si="18"/>
        <v>4500</v>
      </c>
      <c r="O148" s="10">
        <f t="shared" si="15"/>
        <v>140300</v>
      </c>
      <c r="P148" s="10">
        <v>13.1267891</v>
      </c>
      <c r="Q148" s="10">
        <v>80.1407675</v>
      </c>
      <c r="R148" s="10"/>
      <c r="S148" s="10"/>
    </row>
    <row r="149" customHeight="1" spans="1:19">
      <c r="A149" s="5">
        <v>129</v>
      </c>
      <c r="B149" s="6">
        <v>148</v>
      </c>
      <c r="C149" s="7" t="s">
        <v>19</v>
      </c>
      <c r="D149" s="7" t="s">
        <v>20</v>
      </c>
      <c r="E149" s="8" t="s">
        <v>230</v>
      </c>
      <c r="F149" s="9" t="s">
        <v>231</v>
      </c>
      <c r="G149" s="10">
        <v>1</v>
      </c>
      <c r="H149" s="10">
        <v>50</v>
      </c>
      <c r="I149" s="10">
        <v>22</v>
      </c>
      <c r="J149" s="10" t="s">
        <v>23</v>
      </c>
      <c r="K149" s="10">
        <v>1100</v>
      </c>
      <c r="L149" s="10">
        <v>190000</v>
      </c>
      <c r="M149" s="10">
        <f t="shared" si="17"/>
        <v>13200</v>
      </c>
      <c r="N149" s="10">
        <f t="shared" si="18"/>
        <v>5500</v>
      </c>
      <c r="O149" s="10">
        <f t="shared" si="15"/>
        <v>208700</v>
      </c>
      <c r="P149" s="10">
        <v>13.010172</v>
      </c>
      <c r="Q149" s="10">
        <v>80.118966</v>
      </c>
      <c r="R149" s="10" t="s">
        <v>49</v>
      </c>
      <c r="S149" s="11"/>
    </row>
    <row r="150" customHeight="1" spans="1:19">
      <c r="A150" s="5">
        <v>130</v>
      </c>
      <c r="B150" s="6">
        <v>149</v>
      </c>
      <c r="C150" s="7" t="s">
        <v>19</v>
      </c>
      <c r="D150" s="7" t="s">
        <v>20</v>
      </c>
      <c r="E150" s="8" t="s">
        <v>230</v>
      </c>
      <c r="F150" s="7" t="s">
        <v>232</v>
      </c>
      <c r="G150" s="10">
        <v>1</v>
      </c>
      <c r="H150" s="10">
        <v>40</v>
      </c>
      <c r="I150" s="10">
        <v>25</v>
      </c>
      <c r="J150" s="10" t="s">
        <v>23</v>
      </c>
      <c r="K150" s="10">
        <v>1000</v>
      </c>
      <c r="L150" s="10">
        <v>175000</v>
      </c>
      <c r="M150" s="10">
        <f t="shared" si="17"/>
        <v>12000</v>
      </c>
      <c r="N150" s="10">
        <f t="shared" si="18"/>
        <v>5000</v>
      </c>
      <c r="O150" s="10">
        <f t="shared" si="15"/>
        <v>192000</v>
      </c>
      <c r="P150" s="10">
        <v>13.011614</v>
      </c>
      <c r="Q150" s="10">
        <v>80.128006</v>
      </c>
      <c r="R150" s="10" t="s">
        <v>55</v>
      </c>
      <c r="S150" s="11" t="s">
        <v>25</v>
      </c>
    </row>
    <row r="151" customHeight="1" spans="1:19">
      <c r="A151" s="5">
        <v>131</v>
      </c>
      <c r="B151" s="6">
        <v>150</v>
      </c>
      <c r="C151" s="7" t="s">
        <v>19</v>
      </c>
      <c r="D151" s="7" t="s">
        <v>20</v>
      </c>
      <c r="E151" s="8" t="s">
        <v>230</v>
      </c>
      <c r="F151" s="7" t="s">
        <v>233</v>
      </c>
      <c r="G151" s="10">
        <v>1</v>
      </c>
      <c r="H151" s="10">
        <v>40</v>
      </c>
      <c r="I151" s="10">
        <v>25</v>
      </c>
      <c r="J151" s="10" t="s">
        <v>23</v>
      </c>
      <c r="K151" s="10">
        <v>1000</v>
      </c>
      <c r="L151" s="10">
        <v>175000</v>
      </c>
      <c r="M151" s="10">
        <f t="shared" si="17"/>
        <v>12000</v>
      </c>
      <c r="N151" s="10">
        <f t="shared" si="18"/>
        <v>5000</v>
      </c>
      <c r="O151" s="10">
        <f t="shared" si="15"/>
        <v>192000</v>
      </c>
      <c r="P151" s="10">
        <v>13.011649</v>
      </c>
      <c r="Q151" s="10">
        <v>80.128911</v>
      </c>
      <c r="R151" s="10" t="s">
        <v>55</v>
      </c>
      <c r="S151" s="11" t="s">
        <v>25</v>
      </c>
    </row>
    <row r="152" customHeight="1" spans="1:19">
      <c r="A152" s="5">
        <v>132</v>
      </c>
      <c r="B152" s="6">
        <v>151</v>
      </c>
      <c r="C152" s="7" t="s">
        <v>19</v>
      </c>
      <c r="D152" s="7" t="s">
        <v>20</v>
      </c>
      <c r="E152" s="8" t="s">
        <v>230</v>
      </c>
      <c r="F152" s="7" t="s">
        <v>234</v>
      </c>
      <c r="G152" s="10">
        <v>1</v>
      </c>
      <c r="H152" s="10">
        <v>30</v>
      </c>
      <c r="I152" s="10">
        <v>25</v>
      </c>
      <c r="J152" s="10" t="s">
        <v>23</v>
      </c>
      <c r="K152" s="10">
        <v>750</v>
      </c>
      <c r="L152" s="10">
        <v>112500</v>
      </c>
      <c r="M152" s="10">
        <f t="shared" si="17"/>
        <v>9000</v>
      </c>
      <c r="N152" s="10">
        <f t="shared" si="18"/>
        <v>3750</v>
      </c>
      <c r="O152" s="10">
        <f t="shared" si="15"/>
        <v>125250</v>
      </c>
      <c r="P152" s="10">
        <v>13.0119509</v>
      </c>
      <c r="Q152" s="10">
        <v>80.1302266</v>
      </c>
      <c r="R152" s="10" t="s">
        <v>55</v>
      </c>
      <c r="S152" s="11" t="s">
        <v>25</v>
      </c>
    </row>
    <row r="153" customHeight="1" spans="1:19">
      <c r="A153" s="5">
        <v>133</v>
      </c>
      <c r="B153" s="6">
        <v>152</v>
      </c>
      <c r="C153" s="7" t="s">
        <v>19</v>
      </c>
      <c r="D153" s="26" t="s">
        <v>20</v>
      </c>
      <c r="E153" s="25" t="s">
        <v>230</v>
      </c>
      <c r="F153" s="26" t="s">
        <v>235</v>
      </c>
      <c r="G153" s="11">
        <v>1</v>
      </c>
      <c r="H153" s="11">
        <v>25</v>
      </c>
      <c r="I153" s="11">
        <v>25</v>
      </c>
      <c r="J153" s="10" t="s">
        <v>23</v>
      </c>
      <c r="K153" s="11">
        <f t="shared" ref="K153:K166" si="19">H153*I153</f>
        <v>625</v>
      </c>
      <c r="L153" s="11">
        <v>85000</v>
      </c>
      <c r="M153" s="10">
        <f t="shared" si="17"/>
        <v>7500</v>
      </c>
      <c r="N153" s="10">
        <f t="shared" si="18"/>
        <v>3125</v>
      </c>
      <c r="O153" s="10">
        <f t="shared" si="15"/>
        <v>95625</v>
      </c>
      <c r="P153" s="10">
        <v>13.0109596</v>
      </c>
      <c r="Q153" s="10">
        <v>80.1144813</v>
      </c>
      <c r="R153" s="10" t="s">
        <v>24</v>
      </c>
      <c r="S153" s="11" t="s">
        <v>25</v>
      </c>
    </row>
    <row r="154" customHeight="1" spans="1:19">
      <c r="A154" s="5">
        <v>134</v>
      </c>
      <c r="B154" s="6">
        <v>153</v>
      </c>
      <c r="C154" s="7" t="s">
        <v>19</v>
      </c>
      <c r="D154" s="26" t="s">
        <v>20</v>
      </c>
      <c r="E154" s="25" t="s">
        <v>230</v>
      </c>
      <c r="F154" s="26" t="s">
        <v>236</v>
      </c>
      <c r="G154" s="11">
        <v>1</v>
      </c>
      <c r="H154" s="11">
        <v>25</v>
      </c>
      <c r="I154" s="11">
        <v>25</v>
      </c>
      <c r="J154" s="10" t="s">
        <v>23</v>
      </c>
      <c r="K154" s="11">
        <f t="shared" si="19"/>
        <v>625</v>
      </c>
      <c r="L154" s="11">
        <v>85000</v>
      </c>
      <c r="M154" s="10">
        <f t="shared" si="17"/>
        <v>7500</v>
      </c>
      <c r="N154" s="10">
        <f t="shared" si="18"/>
        <v>3125</v>
      </c>
      <c r="O154" s="10">
        <f t="shared" si="15"/>
        <v>95625</v>
      </c>
      <c r="P154" s="10">
        <v>13.0109596</v>
      </c>
      <c r="Q154" s="10">
        <v>80.1144813</v>
      </c>
      <c r="R154" s="10" t="s">
        <v>24</v>
      </c>
      <c r="S154" s="11" t="s">
        <v>25</v>
      </c>
    </row>
    <row r="155" customHeight="1" spans="1:19">
      <c r="A155" s="5">
        <v>135</v>
      </c>
      <c r="B155" s="6">
        <v>154</v>
      </c>
      <c r="C155" s="7" t="s">
        <v>19</v>
      </c>
      <c r="D155" s="26" t="s">
        <v>27</v>
      </c>
      <c r="E155" s="25" t="s">
        <v>237</v>
      </c>
      <c r="F155" s="27" t="s">
        <v>238</v>
      </c>
      <c r="G155" s="11">
        <v>1</v>
      </c>
      <c r="H155" s="11">
        <v>40</v>
      </c>
      <c r="I155" s="11">
        <v>30</v>
      </c>
      <c r="J155" s="11" t="s">
        <v>38</v>
      </c>
      <c r="K155" s="11">
        <f t="shared" si="19"/>
        <v>1200</v>
      </c>
      <c r="L155" s="11">
        <v>150000</v>
      </c>
      <c r="M155" s="10">
        <f t="shared" si="17"/>
        <v>14400</v>
      </c>
      <c r="N155" s="10">
        <f>K155*7</f>
        <v>8400</v>
      </c>
      <c r="O155" s="10">
        <f t="shared" si="15"/>
        <v>172800</v>
      </c>
      <c r="P155" s="10">
        <v>13.0103428</v>
      </c>
      <c r="Q155" s="10">
        <v>80.1019103</v>
      </c>
      <c r="R155" s="10" t="s">
        <v>55</v>
      </c>
      <c r="S155" s="10"/>
    </row>
    <row r="156" customHeight="1" spans="1:19">
      <c r="A156" s="5">
        <v>136</v>
      </c>
      <c r="B156" s="6">
        <v>155</v>
      </c>
      <c r="C156" s="7" t="s">
        <v>19</v>
      </c>
      <c r="D156" s="26" t="s">
        <v>27</v>
      </c>
      <c r="E156" s="25" t="s">
        <v>237</v>
      </c>
      <c r="F156" s="26" t="s">
        <v>239</v>
      </c>
      <c r="G156" s="11">
        <v>1</v>
      </c>
      <c r="H156" s="11">
        <v>40</v>
      </c>
      <c r="I156" s="11">
        <v>30</v>
      </c>
      <c r="J156" s="11" t="s">
        <v>38</v>
      </c>
      <c r="K156" s="11">
        <f t="shared" si="19"/>
        <v>1200</v>
      </c>
      <c r="L156" s="11">
        <v>150000</v>
      </c>
      <c r="M156" s="10">
        <f t="shared" si="17"/>
        <v>14400</v>
      </c>
      <c r="N156" s="10">
        <f>K156*7</f>
        <v>8400</v>
      </c>
      <c r="O156" s="10">
        <f t="shared" si="15"/>
        <v>172800</v>
      </c>
      <c r="P156" s="10">
        <v>13.0103428</v>
      </c>
      <c r="Q156" s="10">
        <v>80.1019103</v>
      </c>
      <c r="R156" s="10"/>
      <c r="S156" s="10"/>
    </row>
    <row r="157" customHeight="1" spans="1:19">
      <c r="A157" s="5">
        <v>137</v>
      </c>
      <c r="B157" s="6">
        <v>156</v>
      </c>
      <c r="C157" s="7" t="s">
        <v>19</v>
      </c>
      <c r="D157" s="26" t="s">
        <v>20</v>
      </c>
      <c r="E157" s="25" t="s">
        <v>237</v>
      </c>
      <c r="F157" s="26" t="s">
        <v>240</v>
      </c>
      <c r="G157" s="11">
        <v>1</v>
      </c>
      <c r="H157" s="11">
        <v>60</v>
      </c>
      <c r="I157" s="11">
        <v>30</v>
      </c>
      <c r="J157" s="11" t="s">
        <v>38</v>
      </c>
      <c r="K157" s="11">
        <f t="shared" si="19"/>
        <v>1800</v>
      </c>
      <c r="L157" s="11">
        <v>175000</v>
      </c>
      <c r="M157" s="10">
        <f t="shared" si="17"/>
        <v>21600</v>
      </c>
      <c r="N157" s="10">
        <f>K157*5</f>
        <v>9000</v>
      </c>
      <c r="O157" s="10">
        <f t="shared" si="15"/>
        <v>205600</v>
      </c>
      <c r="P157" s="10">
        <v>13.0126778</v>
      </c>
      <c r="Q157" s="10">
        <v>80.1025183</v>
      </c>
      <c r="R157" s="10"/>
      <c r="S157" s="10"/>
    </row>
    <row r="158" customHeight="1" spans="1:19">
      <c r="A158" s="5">
        <v>138</v>
      </c>
      <c r="B158" s="6">
        <v>157</v>
      </c>
      <c r="C158" s="7" t="s">
        <v>19</v>
      </c>
      <c r="D158" s="26" t="s">
        <v>20</v>
      </c>
      <c r="E158" s="25" t="s">
        <v>237</v>
      </c>
      <c r="F158" s="26" t="s">
        <v>241</v>
      </c>
      <c r="G158" s="11">
        <v>1</v>
      </c>
      <c r="H158" s="11">
        <v>30</v>
      </c>
      <c r="I158" s="11">
        <v>30</v>
      </c>
      <c r="J158" s="11" t="s">
        <v>38</v>
      </c>
      <c r="K158" s="11">
        <f t="shared" si="19"/>
        <v>900</v>
      </c>
      <c r="L158" s="11">
        <v>100000</v>
      </c>
      <c r="M158" s="10">
        <f t="shared" si="17"/>
        <v>10800</v>
      </c>
      <c r="N158" s="10">
        <f>K158*5</f>
        <v>4500</v>
      </c>
      <c r="O158" s="10">
        <f t="shared" si="15"/>
        <v>115300</v>
      </c>
      <c r="P158" s="10">
        <v>13.0126778</v>
      </c>
      <c r="Q158" s="10">
        <v>80.1025183</v>
      </c>
      <c r="R158" s="10"/>
      <c r="S158" s="10"/>
    </row>
    <row r="159" customHeight="1" spans="1:19">
      <c r="A159" s="5">
        <v>139</v>
      </c>
      <c r="B159" s="6">
        <v>158</v>
      </c>
      <c r="C159" s="7" t="s">
        <v>19</v>
      </c>
      <c r="D159" s="26" t="s">
        <v>20</v>
      </c>
      <c r="E159" s="25" t="s">
        <v>242</v>
      </c>
      <c r="F159" s="26" t="s">
        <v>243</v>
      </c>
      <c r="G159" s="11">
        <v>1</v>
      </c>
      <c r="H159" s="11">
        <v>30</v>
      </c>
      <c r="I159" s="11">
        <v>20</v>
      </c>
      <c r="J159" s="11" t="s">
        <v>38</v>
      </c>
      <c r="K159" s="11">
        <f t="shared" si="19"/>
        <v>600</v>
      </c>
      <c r="L159" s="11">
        <v>90000</v>
      </c>
      <c r="M159" s="10">
        <f t="shared" si="17"/>
        <v>7200</v>
      </c>
      <c r="N159" s="10">
        <f>K159*5</f>
        <v>3000</v>
      </c>
      <c r="O159" s="10">
        <f t="shared" si="15"/>
        <v>100200</v>
      </c>
      <c r="P159" s="10">
        <v>13.0269166</v>
      </c>
      <c r="Q159" s="10">
        <v>80.110749</v>
      </c>
      <c r="R159" s="10"/>
      <c r="S159" s="10"/>
    </row>
    <row r="160" customHeight="1" spans="1:19">
      <c r="A160" s="5">
        <v>140</v>
      </c>
      <c r="B160" s="6">
        <v>159</v>
      </c>
      <c r="C160" s="7" t="s">
        <v>19</v>
      </c>
      <c r="D160" s="26" t="s">
        <v>27</v>
      </c>
      <c r="E160" s="25" t="s">
        <v>242</v>
      </c>
      <c r="F160" s="26" t="s">
        <v>244</v>
      </c>
      <c r="G160" s="11">
        <v>1</v>
      </c>
      <c r="H160" s="11">
        <v>30</v>
      </c>
      <c r="I160" s="11">
        <v>25</v>
      </c>
      <c r="J160" s="11" t="s">
        <v>23</v>
      </c>
      <c r="K160" s="11">
        <f t="shared" si="19"/>
        <v>750</v>
      </c>
      <c r="L160" s="11">
        <v>100000</v>
      </c>
      <c r="M160" s="10">
        <f t="shared" si="17"/>
        <v>9000</v>
      </c>
      <c r="N160" s="10">
        <f>K160*7</f>
        <v>5250</v>
      </c>
      <c r="O160" s="10">
        <f t="shared" si="15"/>
        <v>114250</v>
      </c>
      <c r="P160" s="10">
        <v>13.024771</v>
      </c>
      <c r="Q160" s="10">
        <v>80.1089363</v>
      </c>
      <c r="R160" s="10" t="s">
        <v>55</v>
      </c>
      <c r="S160" s="11" t="s">
        <v>25</v>
      </c>
    </row>
    <row r="161" customHeight="1" spans="1:19">
      <c r="A161" s="5">
        <v>141</v>
      </c>
      <c r="B161" s="6">
        <v>160</v>
      </c>
      <c r="C161" s="7" t="s">
        <v>19</v>
      </c>
      <c r="D161" s="26" t="s">
        <v>27</v>
      </c>
      <c r="E161" s="25" t="s">
        <v>242</v>
      </c>
      <c r="F161" s="27" t="s">
        <v>245</v>
      </c>
      <c r="G161" s="11">
        <v>1</v>
      </c>
      <c r="H161" s="11">
        <v>30</v>
      </c>
      <c r="I161" s="11">
        <v>25</v>
      </c>
      <c r="J161" s="11" t="s">
        <v>23</v>
      </c>
      <c r="K161" s="11">
        <f t="shared" si="19"/>
        <v>750</v>
      </c>
      <c r="L161" s="11">
        <v>100000</v>
      </c>
      <c r="M161" s="10">
        <f t="shared" si="17"/>
        <v>9000</v>
      </c>
      <c r="N161" s="10">
        <f>K161*7</f>
        <v>5250</v>
      </c>
      <c r="O161" s="10">
        <f t="shared" si="15"/>
        <v>114250</v>
      </c>
      <c r="P161" s="10">
        <v>13.024771</v>
      </c>
      <c r="Q161" s="10">
        <v>80.1089363</v>
      </c>
      <c r="R161" s="10" t="s">
        <v>55</v>
      </c>
      <c r="S161" s="11" t="s">
        <v>25</v>
      </c>
    </row>
    <row r="162" ht="13.5" customHeight="1" spans="1:19">
      <c r="A162" s="5">
        <v>142</v>
      </c>
      <c r="B162" s="6">
        <v>161</v>
      </c>
      <c r="C162" s="7" t="s">
        <v>19</v>
      </c>
      <c r="D162" s="26" t="s">
        <v>20</v>
      </c>
      <c r="E162" s="25" t="s">
        <v>246</v>
      </c>
      <c r="F162" s="26" t="s">
        <v>247</v>
      </c>
      <c r="G162" s="11">
        <v>1</v>
      </c>
      <c r="H162" s="11">
        <v>20</v>
      </c>
      <c r="I162" s="11">
        <v>15</v>
      </c>
      <c r="J162" s="11" t="s">
        <v>23</v>
      </c>
      <c r="K162" s="11">
        <f t="shared" si="19"/>
        <v>300</v>
      </c>
      <c r="L162" s="11">
        <v>85000</v>
      </c>
      <c r="M162" s="10">
        <f t="shared" si="17"/>
        <v>3600</v>
      </c>
      <c r="N162" s="10">
        <f t="shared" ref="N162:N167" si="20">K162*5</f>
        <v>1500</v>
      </c>
      <c r="O162" s="10">
        <f t="shared" si="15"/>
        <v>90100</v>
      </c>
      <c r="P162" s="10">
        <v>12.9712127</v>
      </c>
      <c r="Q162" s="10">
        <v>80.143635</v>
      </c>
      <c r="R162" s="10" t="s">
        <v>55</v>
      </c>
      <c r="S162" s="11" t="s">
        <v>25</v>
      </c>
    </row>
    <row r="163" ht="13.5" customHeight="1" spans="1:19">
      <c r="A163" s="5">
        <v>143</v>
      </c>
      <c r="B163" s="6">
        <v>162</v>
      </c>
      <c r="C163" s="7" t="s">
        <v>19</v>
      </c>
      <c r="D163" s="26" t="s">
        <v>20</v>
      </c>
      <c r="E163" s="25" t="s">
        <v>248</v>
      </c>
      <c r="F163" s="26" t="s">
        <v>249</v>
      </c>
      <c r="G163" s="11">
        <v>1</v>
      </c>
      <c r="H163" s="11">
        <v>25</v>
      </c>
      <c r="I163" s="11">
        <v>25</v>
      </c>
      <c r="J163" s="11" t="s">
        <v>23</v>
      </c>
      <c r="K163" s="11">
        <f t="shared" si="19"/>
        <v>625</v>
      </c>
      <c r="L163" s="11">
        <v>75000</v>
      </c>
      <c r="M163" s="10">
        <f t="shared" si="17"/>
        <v>7500</v>
      </c>
      <c r="N163" s="10">
        <f t="shared" si="20"/>
        <v>3125</v>
      </c>
      <c r="O163" s="10">
        <f t="shared" si="15"/>
        <v>85625</v>
      </c>
      <c r="P163" s="10">
        <v>12.9609931</v>
      </c>
      <c r="Q163" s="10">
        <v>80.1358753</v>
      </c>
      <c r="R163" s="10" t="s">
        <v>24</v>
      </c>
      <c r="S163" s="11" t="s">
        <v>25</v>
      </c>
    </row>
    <row r="164" ht="13.5" customHeight="1" spans="1:19">
      <c r="A164" s="5">
        <v>144</v>
      </c>
      <c r="B164" s="6">
        <v>163</v>
      </c>
      <c r="C164" s="7" t="s">
        <v>19</v>
      </c>
      <c r="D164" s="26" t="s">
        <v>20</v>
      </c>
      <c r="E164" s="25" t="s">
        <v>248</v>
      </c>
      <c r="F164" s="26" t="s">
        <v>250</v>
      </c>
      <c r="G164" s="11">
        <v>1</v>
      </c>
      <c r="H164" s="11">
        <v>25</v>
      </c>
      <c r="I164" s="11">
        <v>25</v>
      </c>
      <c r="J164" s="11" t="s">
        <v>23</v>
      </c>
      <c r="K164" s="11">
        <f t="shared" si="19"/>
        <v>625</v>
      </c>
      <c r="L164" s="11">
        <v>75000</v>
      </c>
      <c r="M164" s="10">
        <f t="shared" si="17"/>
        <v>7500</v>
      </c>
      <c r="N164" s="10">
        <f t="shared" si="20"/>
        <v>3125</v>
      </c>
      <c r="O164" s="10">
        <f t="shared" si="15"/>
        <v>85625</v>
      </c>
      <c r="P164" s="10">
        <v>12.9609756</v>
      </c>
      <c r="Q164" s="10">
        <v>80.1355451</v>
      </c>
      <c r="R164" s="10" t="s">
        <v>24</v>
      </c>
      <c r="S164" s="11" t="s">
        <v>25</v>
      </c>
    </row>
    <row r="165" customHeight="1" spans="1:19">
      <c r="A165" s="5">
        <v>145</v>
      </c>
      <c r="B165" s="6">
        <v>164</v>
      </c>
      <c r="C165" s="7" t="s">
        <v>19</v>
      </c>
      <c r="D165" s="7" t="s">
        <v>20</v>
      </c>
      <c r="E165" s="8" t="s">
        <v>251</v>
      </c>
      <c r="F165" s="7" t="s">
        <v>252</v>
      </c>
      <c r="G165" s="10">
        <v>1</v>
      </c>
      <c r="H165" s="10">
        <v>30</v>
      </c>
      <c r="I165" s="10">
        <v>30</v>
      </c>
      <c r="J165" s="11" t="s">
        <v>23</v>
      </c>
      <c r="K165" s="10">
        <f t="shared" si="19"/>
        <v>900</v>
      </c>
      <c r="L165" s="10">
        <v>175000</v>
      </c>
      <c r="M165" s="10">
        <f t="shared" si="17"/>
        <v>10800</v>
      </c>
      <c r="N165" s="10">
        <f t="shared" si="20"/>
        <v>4500</v>
      </c>
      <c r="O165" s="10">
        <f t="shared" si="15"/>
        <v>190300</v>
      </c>
      <c r="P165" s="10">
        <v>12.946857</v>
      </c>
      <c r="Q165" s="10">
        <v>80.136566</v>
      </c>
      <c r="R165" s="10" t="s">
        <v>24</v>
      </c>
      <c r="S165" s="11" t="s">
        <v>25</v>
      </c>
    </row>
    <row r="166" customHeight="1" spans="1:19">
      <c r="A166" s="5">
        <v>146</v>
      </c>
      <c r="B166" s="6">
        <v>165</v>
      </c>
      <c r="C166" s="7" t="s">
        <v>19</v>
      </c>
      <c r="D166" s="7" t="s">
        <v>20</v>
      </c>
      <c r="E166" s="8" t="s">
        <v>251</v>
      </c>
      <c r="F166" s="7" t="s">
        <v>253</v>
      </c>
      <c r="G166" s="10">
        <v>1</v>
      </c>
      <c r="H166" s="10">
        <v>30</v>
      </c>
      <c r="I166" s="10">
        <v>30</v>
      </c>
      <c r="J166" s="11" t="s">
        <v>23</v>
      </c>
      <c r="K166" s="10">
        <f t="shared" si="19"/>
        <v>900</v>
      </c>
      <c r="L166" s="10">
        <v>175000</v>
      </c>
      <c r="M166" s="10">
        <f t="shared" si="17"/>
        <v>10800</v>
      </c>
      <c r="N166" s="10">
        <f t="shared" si="20"/>
        <v>4500</v>
      </c>
      <c r="O166" s="10">
        <f t="shared" si="15"/>
        <v>190300</v>
      </c>
      <c r="P166" s="10">
        <v>12.946764</v>
      </c>
      <c r="Q166" s="10">
        <v>80.137292</v>
      </c>
      <c r="R166" s="10" t="s">
        <v>24</v>
      </c>
      <c r="S166" s="11" t="s">
        <v>25</v>
      </c>
    </row>
    <row r="167" customHeight="1" spans="1:19">
      <c r="A167" s="5">
        <v>147</v>
      </c>
      <c r="B167" s="6">
        <v>166</v>
      </c>
      <c r="C167" s="7" t="s">
        <v>19</v>
      </c>
      <c r="D167" s="7" t="s">
        <v>20</v>
      </c>
      <c r="E167" s="8" t="s">
        <v>251</v>
      </c>
      <c r="F167" s="7" t="s">
        <v>254</v>
      </c>
      <c r="G167" s="10">
        <v>1</v>
      </c>
      <c r="H167" s="10">
        <v>30</v>
      </c>
      <c r="I167" s="10">
        <v>20</v>
      </c>
      <c r="J167" s="10" t="s">
        <v>23</v>
      </c>
      <c r="K167" s="10">
        <v>600</v>
      </c>
      <c r="L167" s="10">
        <v>110000</v>
      </c>
      <c r="M167" s="10">
        <f t="shared" si="17"/>
        <v>7200</v>
      </c>
      <c r="N167" s="10">
        <f t="shared" si="20"/>
        <v>3000</v>
      </c>
      <c r="O167" s="10">
        <f t="shared" si="15"/>
        <v>120200</v>
      </c>
      <c r="P167" s="10">
        <v>12.842969</v>
      </c>
      <c r="Q167" s="10">
        <v>80.058722</v>
      </c>
      <c r="R167" s="10" t="s">
        <v>55</v>
      </c>
      <c r="S167" s="11" t="s">
        <v>25</v>
      </c>
    </row>
    <row r="168" customHeight="1" spans="1:19">
      <c r="A168" s="5">
        <v>148</v>
      </c>
      <c r="B168" s="6">
        <v>167</v>
      </c>
      <c r="C168" s="7" t="s">
        <v>19</v>
      </c>
      <c r="D168" s="7" t="s">
        <v>27</v>
      </c>
      <c r="E168" s="8" t="s">
        <v>251</v>
      </c>
      <c r="F168" s="7" t="s">
        <v>255</v>
      </c>
      <c r="G168" s="10">
        <v>1</v>
      </c>
      <c r="H168" s="10">
        <v>40</v>
      </c>
      <c r="I168" s="10">
        <v>30</v>
      </c>
      <c r="J168" s="10" t="s">
        <v>38</v>
      </c>
      <c r="K168" s="10">
        <v>1200</v>
      </c>
      <c r="L168" s="10">
        <v>225000</v>
      </c>
      <c r="M168" s="10">
        <f t="shared" si="17"/>
        <v>14400</v>
      </c>
      <c r="N168" s="10">
        <f>K168*7</f>
        <v>8400</v>
      </c>
      <c r="O168" s="10">
        <f t="shared" si="15"/>
        <v>247800</v>
      </c>
      <c r="P168" s="10">
        <v>12.749323</v>
      </c>
      <c r="Q168" s="10">
        <v>79.997291</v>
      </c>
      <c r="R168" s="10"/>
      <c r="S168" s="11"/>
    </row>
    <row r="169" customHeight="1" spans="1:19">
      <c r="A169" s="5">
        <v>149</v>
      </c>
      <c r="B169" s="6">
        <v>168</v>
      </c>
      <c r="C169" s="7" t="s">
        <v>19</v>
      </c>
      <c r="D169" s="7" t="s">
        <v>27</v>
      </c>
      <c r="E169" s="8" t="s">
        <v>251</v>
      </c>
      <c r="F169" s="7" t="s">
        <v>256</v>
      </c>
      <c r="G169" s="10">
        <v>1</v>
      </c>
      <c r="H169" s="10">
        <v>40</v>
      </c>
      <c r="I169" s="10">
        <v>30</v>
      </c>
      <c r="J169" s="10" t="s">
        <v>23</v>
      </c>
      <c r="K169" s="10">
        <v>1200</v>
      </c>
      <c r="L169" s="10">
        <v>200000</v>
      </c>
      <c r="M169" s="10">
        <f t="shared" si="17"/>
        <v>14400</v>
      </c>
      <c r="N169" s="10">
        <f>K169*7</f>
        <v>8400</v>
      </c>
      <c r="O169" s="10">
        <f t="shared" si="15"/>
        <v>222800</v>
      </c>
      <c r="P169" s="10">
        <v>12.8106624</v>
      </c>
      <c r="Q169" s="10">
        <v>80.030441</v>
      </c>
      <c r="R169" s="10" t="s">
        <v>55</v>
      </c>
      <c r="S169" s="11" t="s">
        <v>25</v>
      </c>
    </row>
    <row r="170" customHeight="1" spans="1:19">
      <c r="A170" s="5">
        <v>150</v>
      </c>
      <c r="B170" s="6">
        <v>169</v>
      </c>
      <c r="C170" s="7" t="s">
        <v>19</v>
      </c>
      <c r="D170" s="7" t="s">
        <v>27</v>
      </c>
      <c r="E170" s="8" t="s">
        <v>251</v>
      </c>
      <c r="F170" s="7" t="s">
        <v>257</v>
      </c>
      <c r="G170" s="10">
        <v>1</v>
      </c>
      <c r="H170" s="10">
        <v>40</v>
      </c>
      <c r="I170" s="10">
        <v>30</v>
      </c>
      <c r="J170" s="10" t="s">
        <v>23</v>
      </c>
      <c r="K170" s="10">
        <v>1200</v>
      </c>
      <c r="L170" s="10">
        <v>200000</v>
      </c>
      <c r="M170" s="10">
        <f t="shared" si="17"/>
        <v>14400</v>
      </c>
      <c r="N170" s="10">
        <f>K170*7</f>
        <v>8400</v>
      </c>
      <c r="O170" s="10">
        <f t="shared" si="15"/>
        <v>222800</v>
      </c>
      <c r="P170" s="10">
        <v>12.8106624</v>
      </c>
      <c r="Q170" s="10">
        <v>80.030441</v>
      </c>
      <c r="R170" s="10" t="s">
        <v>55</v>
      </c>
      <c r="S170" s="11" t="s">
        <v>25</v>
      </c>
    </row>
    <row r="171" customHeight="1" spans="1:19">
      <c r="A171" s="5">
        <v>151</v>
      </c>
      <c r="B171" s="6">
        <v>170</v>
      </c>
      <c r="C171" s="7" t="s">
        <v>19</v>
      </c>
      <c r="D171" s="7" t="s">
        <v>20</v>
      </c>
      <c r="E171" s="8" t="s">
        <v>251</v>
      </c>
      <c r="F171" s="7" t="s">
        <v>258</v>
      </c>
      <c r="G171" s="10">
        <v>1</v>
      </c>
      <c r="H171" s="10">
        <v>45</v>
      </c>
      <c r="I171" s="10">
        <v>30</v>
      </c>
      <c r="J171" s="10" t="s">
        <v>23</v>
      </c>
      <c r="K171" s="10">
        <v>1350</v>
      </c>
      <c r="L171" s="10">
        <v>170000</v>
      </c>
      <c r="M171" s="10">
        <f t="shared" si="17"/>
        <v>16200</v>
      </c>
      <c r="N171" s="10">
        <f>K171*5</f>
        <v>6750</v>
      </c>
      <c r="O171" s="10">
        <f t="shared" si="15"/>
        <v>192950</v>
      </c>
      <c r="P171" s="10">
        <v>12.756396</v>
      </c>
      <c r="Q171" s="10">
        <v>80.002158</v>
      </c>
      <c r="R171" s="10" t="s">
        <v>55</v>
      </c>
      <c r="S171" s="11" t="s">
        <v>25</v>
      </c>
    </row>
    <row r="172" customHeight="1" spans="1:19">
      <c r="A172" s="5">
        <v>153</v>
      </c>
      <c r="B172" s="6">
        <v>171</v>
      </c>
      <c r="C172" s="7" t="s">
        <v>19</v>
      </c>
      <c r="D172" s="26" t="s">
        <v>27</v>
      </c>
      <c r="E172" s="8" t="s">
        <v>251</v>
      </c>
      <c r="F172" s="26" t="s">
        <v>259</v>
      </c>
      <c r="G172" s="11">
        <v>1</v>
      </c>
      <c r="H172" s="11">
        <v>50</v>
      </c>
      <c r="I172" s="11">
        <v>30</v>
      </c>
      <c r="J172" s="10" t="s">
        <v>38</v>
      </c>
      <c r="K172" s="11">
        <f>H172*I172</f>
        <v>1500</v>
      </c>
      <c r="L172" s="11">
        <v>175000</v>
      </c>
      <c r="M172" s="10">
        <f t="shared" si="17"/>
        <v>18000</v>
      </c>
      <c r="N172" s="10">
        <f>K172*7</f>
        <v>10500</v>
      </c>
      <c r="O172" s="10">
        <f t="shared" si="15"/>
        <v>203500</v>
      </c>
      <c r="P172" s="10">
        <v>12.8125037</v>
      </c>
      <c r="Q172" s="10">
        <v>80.0315883</v>
      </c>
      <c r="R172" s="10"/>
      <c r="S172" s="10"/>
    </row>
    <row r="173" customHeight="1" spans="1:19">
      <c r="A173" s="5"/>
      <c r="B173" s="6">
        <v>172</v>
      </c>
      <c r="C173" s="7" t="s">
        <v>19</v>
      </c>
      <c r="D173" s="26" t="s">
        <v>27</v>
      </c>
      <c r="E173" s="8" t="s">
        <v>251</v>
      </c>
      <c r="F173" s="26" t="s">
        <v>260</v>
      </c>
      <c r="G173" s="11">
        <v>1</v>
      </c>
      <c r="H173" s="11">
        <v>40</v>
      </c>
      <c r="I173" s="11">
        <v>25</v>
      </c>
      <c r="J173" s="10" t="s">
        <v>23</v>
      </c>
      <c r="K173" s="11">
        <f>H173*I173</f>
        <v>1000</v>
      </c>
      <c r="L173" s="11">
        <v>150000</v>
      </c>
      <c r="M173" s="10">
        <f t="shared" si="17"/>
        <v>12000</v>
      </c>
      <c r="N173" s="10">
        <f>K173*7</f>
        <v>7000</v>
      </c>
      <c r="O173" s="10">
        <f t="shared" si="15"/>
        <v>169000</v>
      </c>
      <c r="P173" s="10">
        <v>12.8125037</v>
      </c>
      <c r="Q173" s="10">
        <v>80.0315883</v>
      </c>
      <c r="R173" s="10" t="s">
        <v>55</v>
      </c>
      <c r="S173" s="10" t="s">
        <v>25</v>
      </c>
    </row>
    <row r="174" customHeight="1" spans="1:19">
      <c r="A174" s="5">
        <v>154</v>
      </c>
      <c r="B174" s="6">
        <v>173</v>
      </c>
      <c r="C174" s="7" t="s">
        <v>19</v>
      </c>
      <c r="D174" s="26" t="s">
        <v>20</v>
      </c>
      <c r="E174" s="8" t="s">
        <v>251</v>
      </c>
      <c r="F174" s="26" t="s">
        <v>261</v>
      </c>
      <c r="G174" s="11">
        <v>1</v>
      </c>
      <c r="H174" s="11">
        <v>30</v>
      </c>
      <c r="I174" s="11">
        <v>25</v>
      </c>
      <c r="J174" s="10" t="s">
        <v>23</v>
      </c>
      <c r="K174" s="11">
        <f>H174*I174</f>
        <v>750</v>
      </c>
      <c r="L174" s="11">
        <v>100000</v>
      </c>
      <c r="M174" s="10">
        <f t="shared" si="17"/>
        <v>9000</v>
      </c>
      <c r="N174" s="10">
        <f>K174*5</f>
        <v>3750</v>
      </c>
      <c r="O174" s="10">
        <f t="shared" si="15"/>
        <v>112750</v>
      </c>
      <c r="P174" s="10">
        <v>12.8278853</v>
      </c>
      <c r="Q174" s="10">
        <v>80.042979</v>
      </c>
      <c r="R174" s="10" t="s">
        <v>55</v>
      </c>
      <c r="S174" s="10" t="s">
        <v>25</v>
      </c>
    </row>
    <row r="175" customHeight="1" spans="1:19">
      <c r="A175" s="5">
        <v>155</v>
      </c>
      <c r="B175" s="6">
        <v>174</v>
      </c>
      <c r="C175" s="7" t="s">
        <v>19</v>
      </c>
      <c r="D175" s="26" t="s">
        <v>27</v>
      </c>
      <c r="E175" s="8" t="s">
        <v>251</v>
      </c>
      <c r="F175" s="26" t="s">
        <v>262</v>
      </c>
      <c r="G175" s="11">
        <v>1</v>
      </c>
      <c r="H175" s="11">
        <v>40</v>
      </c>
      <c r="I175" s="11">
        <v>25</v>
      </c>
      <c r="J175" s="11" t="s">
        <v>38</v>
      </c>
      <c r="K175" s="11">
        <f>H175*I175</f>
        <v>1000</v>
      </c>
      <c r="L175" s="11">
        <v>125000</v>
      </c>
      <c r="M175" s="10">
        <f t="shared" si="17"/>
        <v>12000</v>
      </c>
      <c r="N175" s="10">
        <f>K175*7</f>
        <v>7000</v>
      </c>
      <c r="O175" s="10">
        <f t="shared" si="15"/>
        <v>144000</v>
      </c>
      <c r="P175" s="10">
        <v>12.8615861</v>
      </c>
      <c r="Q175" s="10">
        <v>80.0733466</v>
      </c>
      <c r="R175" s="10"/>
      <c r="S175" s="10"/>
    </row>
    <row r="176" ht="13.5" customHeight="1" spans="1:19">
      <c r="A176" s="5">
        <v>156</v>
      </c>
      <c r="B176" s="6">
        <v>175</v>
      </c>
      <c r="C176" s="7" t="s">
        <v>19</v>
      </c>
      <c r="D176" s="7" t="s">
        <v>27</v>
      </c>
      <c r="E176" s="8" t="s">
        <v>263</v>
      </c>
      <c r="F176" s="7" t="s">
        <v>264</v>
      </c>
      <c r="G176" s="10">
        <v>1</v>
      </c>
      <c r="H176" s="10">
        <v>40</v>
      </c>
      <c r="I176" s="10">
        <v>25</v>
      </c>
      <c r="J176" s="10" t="s">
        <v>38</v>
      </c>
      <c r="K176" s="10">
        <v>1000</v>
      </c>
      <c r="L176" s="10">
        <v>150000</v>
      </c>
      <c r="M176" s="10">
        <f t="shared" si="17"/>
        <v>12000</v>
      </c>
      <c r="N176" s="10">
        <f>K176*7</f>
        <v>7000</v>
      </c>
      <c r="O176" s="10">
        <f t="shared" si="15"/>
        <v>169000</v>
      </c>
      <c r="P176" s="10">
        <v>12.846098</v>
      </c>
      <c r="Q176" s="10">
        <v>80.148611</v>
      </c>
      <c r="R176" s="10"/>
      <c r="S176" s="11"/>
    </row>
    <row r="177" ht="13.5" customHeight="1" spans="1:19">
      <c r="A177" s="5">
        <v>157</v>
      </c>
      <c r="B177" s="6">
        <v>176</v>
      </c>
      <c r="C177" s="7" t="s">
        <v>19</v>
      </c>
      <c r="D177" s="7" t="s">
        <v>27</v>
      </c>
      <c r="E177" s="8" t="s">
        <v>263</v>
      </c>
      <c r="F177" s="7" t="s">
        <v>265</v>
      </c>
      <c r="G177" s="10">
        <v>1</v>
      </c>
      <c r="H177" s="10">
        <v>40</v>
      </c>
      <c r="I177" s="10">
        <v>25</v>
      </c>
      <c r="J177" s="10" t="s">
        <v>38</v>
      </c>
      <c r="K177" s="10">
        <v>1000</v>
      </c>
      <c r="L177" s="10">
        <v>150000</v>
      </c>
      <c r="M177" s="10">
        <f t="shared" si="17"/>
        <v>12000</v>
      </c>
      <c r="N177" s="10">
        <f>K177*7</f>
        <v>7000</v>
      </c>
      <c r="O177" s="10">
        <f t="shared" si="15"/>
        <v>169000</v>
      </c>
      <c r="P177" s="10">
        <v>12.844616</v>
      </c>
      <c r="Q177" s="10">
        <v>80.149223</v>
      </c>
      <c r="R177" s="10"/>
      <c r="S177" s="11"/>
    </row>
    <row r="178" customHeight="1" spans="1:19">
      <c r="A178" s="5">
        <v>158</v>
      </c>
      <c r="B178" s="6">
        <v>177</v>
      </c>
      <c r="C178" s="7" t="s">
        <v>19</v>
      </c>
      <c r="D178" s="7" t="s">
        <v>20</v>
      </c>
      <c r="E178" s="8" t="s">
        <v>266</v>
      </c>
      <c r="F178" s="7" t="s">
        <v>267</v>
      </c>
      <c r="G178" s="10">
        <v>1</v>
      </c>
      <c r="H178" s="10">
        <v>30</v>
      </c>
      <c r="I178" s="10">
        <v>30</v>
      </c>
      <c r="J178" s="10" t="s">
        <v>38</v>
      </c>
      <c r="K178" s="10">
        <v>900</v>
      </c>
      <c r="L178" s="10">
        <v>100000</v>
      </c>
      <c r="M178" s="10">
        <f t="shared" si="17"/>
        <v>10800</v>
      </c>
      <c r="N178" s="10">
        <f>K178*5</f>
        <v>4500</v>
      </c>
      <c r="O178" s="10">
        <f t="shared" si="15"/>
        <v>115300</v>
      </c>
      <c r="P178" s="10">
        <v>12.8932883</v>
      </c>
      <c r="Q178" s="10">
        <v>80.0660049</v>
      </c>
      <c r="R178" s="10"/>
      <c r="S178" s="11"/>
    </row>
    <row r="179" customHeight="1" spans="1:19">
      <c r="A179" s="5">
        <v>159</v>
      </c>
      <c r="B179" s="6">
        <v>178</v>
      </c>
      <c r="C179" s="7" t="s">
        <v>19</v>
      </c>
      <c r="D179" s="7" t="s">
        <v>20</v>
      </c>
      <c r="E179" s="8" t="s">
        <v>266</v>
      </c>
      <c r="F179" s="7" t="s">
        <v>268</v>
      </c>
      <c r="G179" s="10">
        <v>1</v>
      </c>
      <c r="H179" s="10">
        <v>30</v>
      </c>
      <c r="I179" s="10">
        <v>20</v>
      </c>
      <c r="J179" s="10" t="s">
        <v>23</v>
      </c>
      <c r="K179" s="10">
        <v>600</v>
      </c>
      <c r="L179" s="10">
        <v>85000</v>
      </c>
      <c r="M179" s="10">
        <f t="shared" si="17"/>
        <v>7200</v>
      </c>
      <c r="N179" s="10">
        <f>K179*5</f>
        <v>3000</v>
      </c>
      <c r="O179" s="10">
        <f t="shared" si="15"/>
        <v>95200</v>
      </c>
      <c r="P179" s="10">
        <v>12.8932883</v>
      </c>
      <c r="Q179" s="10">
        <v>80.0660049</v>
      </c>
      <c r="R179" s="10" t="s">
        <v>24</v>
      </c>
      <c r="S179" s="11" t="s">
        <v>25</v>
      </c>
    </row>
    <row r="180" customHeight="1" spans="1:19">
      <c r="A180" s="5">
        <v>160</v>
      </c>
      <c r="B180" s="6">
        <v>179</v>
      </c>
      <c r="C180" s="7" t="s">
        <v>19</v>
      </c>
      <c r="D180" s="7" t="s">
        <v>20</v>
      </c>
      <c r="E180" s="8" t="s">
        <v>266</v>
      </c>
      <c r="F180" s="7" t="s">
        <v>269</v>
      </c>
      <c r="G180" s="10">
        <v>1</v>
      </c>
      <c r="H180" s="10">
        <v>25</v>
      </c>
      <c r="I180" s="10">
        <v>30</v>
      </c>
      <c r="J180" s="10" t="s">
        <v>23</v>
      </c>
      <c r="K180" s="10">
        <v>750</v>
      </c>
      <c r="L180" s="10">
        <v>125000</v>
      </c>
      <c r="M180" s="10">
        <f t="shared" si="17"/>
        <v>9000</v>
      </c>
      <c r="N180" s="10">
        <f>K180*5</f>
        <v>3750</v>
      </c>
      <c r="O180" s="10">
        <f t="shared" si="15"/>
        <v>137750</v>
      </c>
      <c r="P180" s="10">
        <v>12.887309</v>
      </c>
      <c r="Q180" s="10">
        <v>80.0244976</v>
      </c>
      <c r="R180" s="10" t="s">
        <v>55</v>
      </c>
      <c r="S180" s="11" t="s">
        <v>25</v>
      </c>
    </row>
    <row r="181" customHeight="1" spans="1:19">
      <c r="A181" s="5">
        <v>161</v>
      </c>
      <c r="B181" s="6">
        <v>180</v>
      </c>
      <c r="C181" s="7" t="s">
        <v>19</v>
      </c>
      <c r="D181" s="7" t="s">
        <v>27</v>
      </c>
      <c r="E181" s="8" t="s">
        <v>266</v>
      </c>
      <c r="F181" s="9" t="s">
        <v>270</v>
      </c>
      <c r="G181" s="10">
        <v>1</v>
      </c>
      <c r="H181" s="10">
        <v>40</v>
      </c>
      <c r="I181" s="10">
        <v>30</v>
      </c>
      <c r="J181" s="10" t="s">
        <v>23</v>
      </c>
      <c r="K181" s="10">
        <v>1200</v>
      </c>
      <c r="L181" s="10">
        <v>150000</v>
      </c>
      <c r="M181" s="10">
        <f t="shared" si="17"/>
        <v>14400</v>
      </c>
      <c r="N181" s="10">
        <f t="shared" ref="N181:N192" si="21">K181*7</f>
        <v>8400</v>
      </c>
      <c r="O181" s="10">
        <f t="shared" si="15"/>
        <v>172800</v>
      </c>
      <c r="P181" s="10">
        <v>12.8790718</v>
      </c>
      <c r="Q181" s="10">
        <v>80.0024027</v>
      </c>
      <c r="R181" s="10" t="s">
        <v>55</v>
      </c>
      <c r="S181" s="11" t="s">
        <v>25</v>
      </c>
    </row>
    <row r="182" customHeight="1" spans="1:19">
      <c r="A182" s="5">
        <v>162</v>
      </c>
      <c r="B182" s="6">
        <v>181</v>
      </c>
      <c r="C182" s="7" t="s">
        <v>19</v>
      </c>
      <c r="D182" s="7" t="s">
        <v>27</v>
      </c>
      <c r="E182" s="8" t="s">
        <v>266</v>
      </c>
      <c r="F182" s="7" t="s">
        <v>271</v>
      </c>
      <c r="G182" s="10">
        <v>1</v>
      </c>
      <c r="H182" s="10">
        <v>40</v>
      </c>
      <c r="I182" s="10">
        <v>30</v>
      </c>
      <c r="J182" s="10" t="s">
        <v>23</v>
      </c>
      <c r="K182" s="10">
        <v>1200</v>
      </c>
      <c r="L182" s="10">
        <v>150000</v>
      </c>
      <c r="M182" s="10">
        <f t="shared" si="17"/>
        <v>14400</v>
      </c>
      <c r="N182" s="10">
        <f t="shared" si="21"/>
        <v>8400</v>
      </c>
      <c r="O182" s="10">
        <f t="shared" si="15"/>
        <v>172800</v>
      </c>
      <c r="P182" s="10">
        <v>12.8790718</v>
      </c>
      <c r="Q182" s="10">
        <v>80.0024027</v>
      </c>
      <c r="R182" s="10" t="s">
        <v>55</v>
      </c>
      <c r="S182" s="11" t="s">
        <v>25</v>
      </c>
    </row>
    <row r="183" ht="13.5" customHeight="1" spans="1:19">
      <c r="A183" s="5">
        <v>163</v>
      </c>
      <c r="B183" s="6">
        <v>182</v>
      </c>
      <c r="C183" s="7" t="s">
        <v>19</v>
      </c>
      <c r="D183" s="26" t="s">
        <v>27</v>
      </c>
      <c r="E183" s="25" t="s">
        <v>266</v>
      </c>
      <c r="F183" s="26" t="s">
        <v>272</v>
      </c>
      <c r="G183" s="11">
        <v>1</v>
      </c>
      <c r="H183" s="11">
        <v>40</v>
      </c>
      <c r="I183" s="11">
        <v>25</v>
      </c>
      <c r="J183" s="10" t="s">
        <v>23</v>
      </c>
      <c r="K183" s="11">
        <f t="shared" ref="K183:K192" si="22">H183*I183</f>
        <v>1000</v>
      </c>
      <c r="L183" s="11">
        <v>100000</v>
      </c>
      <c r="M183" s="10">
        <f t="shared" si="17"/>
        <v>12000</v>
      </c>
      <c r="N183" s="10">
        <f t="shared" si="21"/>
        <v>7000</v>
      </c>
      <c r="O183" s="10">
        <f t="shared" si="15"/>
        <v>119000</v>
      </c>
      <c r="P183" s="10">
        <v>12.8690541</v>
      </c>
      <c r="Q183" s="10">
        <v>79.9736994</v>
      </c>
      <c r="R183" s="10" t="s">
        <v>24</v>
      </c>
      <c r="S183" s="11" t="s">
        <v>25</v>
      </c>
    </row>
    <row r="184" ht="13.5" customHeight="1" spans="1:19">
      <c r="A184" s="5">
        <v>164</v>
      </c>
      <c r="B184" s="6">
        <v>183</v>
      </c>
      <c r="C184" s="7" t="s">
        <v>19</v>
      </c>
      <c r="D184" s="26" t="s">
        <v>27</v>
      </c>
      <c r="E184" s="25" t="s">
        <v>266</v>
      </c>
      <c r="F184" s="26" t="s">
        <v>273</v>
      </c>
      <c r="G184" s="11">
        <v>1</v>
      </c>
      <c r="H184" s="11">
        <v>40</v>
      </c>
      <c r="I184" s="11">
        <v>25</v>
      </c>
      <c r="J184" s="10" t="s">
        <v>23</v>
      </c>
      <c r="K184" s="11">
        <f t="shared" si="22"/>
        <v>1000</v>
      </c>
      <c r="L184" s="11">
        <v>100000</v>
      </c>
      <c r="M184" s="10">
        <f t="shared" si="17"/>
        <v>12000</v>
      </c>
      <c r="N184" s="10">
        <f t="shared" si="21"/>
        <v>7000</v>
      </c>
      <c r="O184" s="10">
        <f t="shared" si="15"/>
        <v>119000</v>
      </c>
      <c r="P184" s="10">
        <v>12.8690541</v>
      </c>
      <c r="Q184" s="10">
        <v>79.9736994</v>
      </c>
      <c r="R184" s="10" t="s">
        <v>24</v>
      </c>
      <c r="S184" s="11" t="s">
        <v>25</v>
      </c>
    </row>
    <row r="185" ht="13.5" customHeight="1" spans="1:19">
      <c r="A185" s="5">
        <v>165</v>
      </c>
      <c r="B185" s="6">
        <v>184</v>
      </c>
      <c r="C185" s="7" t="s">
        <v>19</v>
      </c>
      <c r="D185" s="26" t="s">
        <v>27</v>
      </c>
      <c r="E185" s="25" t="s">
        <v>266</v>
      </c>
      <c r="F185" s="26" t="s">
        <v>274</v>
      </c>
      <c r="G185" s="11">
        <v>1</v>
      </c>
      <c r="H185" s="11">
        <v>40</v>
      </c>
      <c r="I185" s="11">
        <v>25</v>
      </c>
      <c r="J185" s="10" t="s">
        <v>23</v>
      </c>
      <c r="K185" s="11">
        <f t="shared" si="22"/>
        <v>1000</v>
      </c>
      <c r="L185" s="11">
        <v>100000</v>
      </c>
      <c r="M185" s="10">
        <f t="shared" si="17"/>
        <v>12000</v>
      </c>
      <c r="N185" s="10">
        <f t="shared" si="21"/>
        <v>7000</v>
      </c>
      <c r="O185" s="10">
        <f t="shared" si="15"/>
        <v>119000</v>
      </c>
      <c r="P185" s="10">
        <v>12.8997894</v>
      </c>
      <c r="Q185" s="10">
        <v>79.9312762</v>
      </c>
      <c r="R185" s="10" t="s">
        <v>24</v>
      </c>
      <c r="S185" s="11" t="s">
        <v>25</v>
      </c>
    </row>
    <row r="186" ht="13.5" customHeight="1" spans="1:19">
      <c r="A186" s="5">
        <v>166</v>
      </c>
      <c r="B186" s="6">
        <v>185</v>
      </c>
      <c r="C186" s="7" t="s">
        <v>19</v>
      </c>
      <c r="D186" s="26" t="s">
        <v>27</v>
      </c>
      <c r="E186" s="25" t="s">
        <v>266</v>
      </c>
      <c r="F186" s="26" t="s">
        <v>275</v>
      </c>
      <c r="G186" s="11">
        <v>1</v>
      </c>
      <c r="H186" s="11">
        <v>40</v>
      </c>
      <c r="I186" s="11">
        <v>25</v>
      </c>
      <c r="J186" s="10" t="s">
        <v>23</v>
      </c>
      <c r="K186" s="11">
        <f t="shared" si="22"/>
        <v>1000</v>
      </c>
      <c r="L186" s="11">
        <v>100000</v>
      </c>
      <c r="M186" s="10">
        <f t="shared" si="17"/>
        <v>12000</v>
      </c>
      <c r="N186" s="10">
        <f t="shared" si="21"/>
        <v>7000</v>
      </c>
      <c r="O186" s="10">
        <f t="shared" si="15"/>
        <v>119000</v>
      </c>
      <c r="P186" s="10">
        <v>12.8997894</v>
      </c>
      <c r="Q186" s="10">
        <v>79.9312762</v>
      </c>
      <c r="R186" s="10" t="s">
        <v>24</v>
      </c>
      <c r="S186" s="11" t="s">
        <v>25</v>
      </c>
    </row>
    <row r="187" ht="13.5" customHeight="1" spans="1:19">
      <c r="A187" s="5">
        <v>167</v>
      </c>
      <c r="B187" s="6">
        <v>186</v>
      </c>
      <c r="C187" s="7" t="s">
        <v>19</v>
      </c>
      <c r="D187" s="26" t="s">
        <v>27</v>
      </c>
      <c r="E187" s="25" t="s">
        <v>276</v>
      </c>
      <c r="F187" s="26" t="s">
        <v>277</v>
      </c>
      <c r="G187" s="11">
        <v>1</v>
      </c>
      <c r="H187" s="11">
        <v>50</v>
      </c>
      <c r="I187" s="11">
        <v>30</v>
      </c>
      <c r="J187" s="11" t="s">
        <v>38</v>
      </c>
      <c r="K187" s="11">
        <f t="shared" si="22"/>
        <v>1500</v>
      </c>
      <c r="L187" s="11">
        <v>150000</v>
      </c>
      <c r="M187" s="10">
        <f t="shared" si="17"/>
        <v>18000</v>
      </c>
      <c r="N187" s="10">
        <f t="shared" si="21"/>
        <v>10500</v>
      </c>
      <c r="O187" s="10">
        <f t="shared" si="15"/>
        <v>178500</v>
      </c>
      <c r="P187" s="22">
        <v>13.0327722</v>
      </c>
      <c r="Q187" s="22">
        <v>80.037764</v>
      </c>
      <c r="R187" s="10"/>
      <c r="S187" s="10"/>
    </row>
    <row r="188" ht="13.5" customHeight="1" spans="1:19">
      <c r="A188" s="5">
        <v>168</v>
      </c>
      <c r="B188" s="6">
        <v>187</v>
      </c>
      <c r="C188" s="7" t="s">
        <v>19</v>
      </c>
      <c r="D188" s="26" t="s">
        <v>27</v>
      </c>
      <c r="E188" s="25" t="s">
        <v>276</v>
      </c>
      <c r="F188" s="26" t="s">
        <v>278</v>
      </c>
      <c r="G188" s="11">
        <v>1</v>
      </c>
      <c r="H188" s="11">
        <v>50</v>
      </c>
      <c r="I188" s="11">
        <v>30</v>
      </c>
      <c r="J188" s="11" t="s">
        <v>38</v>
      </c>
      <c r="K188" s="11">
        <f t="shared" si="22"/>
        <v>1500</v>
      </c>
      <c r="L188" s="11">
        <v>150000</v>
      </c>
      <c r="M188" s="10">
        <f t="shared" si="17"/>
        <v>18000</v>
      </c>
      <c r="N188" s="10">
        <f t="shared" si="21"/>
        <v>10500</v>
      </c>
      <c r="O188" s="10">
        <f t="shared" si="15"/>
        <v>178500</v>
      </c>
      <c r="P188" s="22">
        <v>13.0327722</v>
      </c>
      <c r="Q188" s="22">
        <v>80.037764</v>
      </c>
      <c r="R188" s="10"/>
      <c r="S188" s="10"/>
    </row>
    <row r="189" ht="13.5" customHeight="1" spans="1:19">
      <c r="A189" s="5">
        <v>169</v>
      </c>
      <c r="B189" s="6">
        <v>188</v>
      </c>
      <c r="C189" s="7" t="s">
        <v>19</v>
      </c>
      <c r="D189" s="26" t="s">
        <v>27</v>
      </c>
      <c r="E189" s="25" t="s">
        <v>279</v>
      </c>
      <c r="F189" s="26" t="s">
        <v>280</v>
      </c>
      <c r="G189" s="11">
        <v>1</v>
      </c>
      <c r="H189" s="11">
        <v>60</v>
      </c>
      <c r="I189" s="11">
        <v>30</v>
      </c>
      <c r="J189" s="11" t="s">
        <v>23</v>
      </c>
      <c r="K189" s="11">
        <f t="shared" si="22"/>
        <v>1800</v>
      </c>
      <c r="L189" s="11">
        <v>250000</v>
      </c>
      <c r="M189" s="10">
        <f t="shared" si="17"/>
        <v>21600</v>
      </c>
      <c r="N189" s="10">
        <f t="shared" si="21"/>
        <v>12600</v>
      </c>
      <c r="O189" s="10">
        <f t="shared" si="15"/>
        <v>284200</v>
      </c>
      <c r="P189" s="10">
        <v>13.0369775</v>
      </c>
      <c r="Q189" s="10">
        <v>80.0471506</v>
      </c>
      <c r="R189" s="10" t="s">
        <v>24</v>
      </c>
      <c r="S189" s="11" t="s">
        <v>25</v>
      </c>
    </row>
    <row r="190" ht="13.5" customHeight="1" spans="1:19">
      <c r="A190" s="5">
        <v>170</v>
      </c>
      <c r="B190" s="6">
        <v>189</v>
      </c>
      <c r="C190" s="7" t="s">
        <v>19</v>
      </c>
      <c r="D190" s="26" t="s">
        <v>27</v>
      </c>
      <c r="E190" s="25" t="s">
        <v>279</v>
      </c>
      <c r="F190" s="26" t="s">
        <v>281</v>
      </c>
      <c r="G190" s="11">
        <v>1</v>
      </c>
      <c r="H190" s="11">
        <v>60</v>
      </c>
      <c r="I190" s="11">
        <v>30</v>
      </c>
      <c r="J190" s="11" t="s">
        <v>23</v>
      </c>
      <c r="K190" s="11">
        <f t="shared" si="22"/>
        <v>1800</v>
      </c>
      <c r="L190" s="11">
        <v>250000</v>
      </c>
      <c r="M190" s="10">
        <f t="shared" si="17"/>
        <v>21600</v>
      </c>
      <c r="N190" s="10">
        <f t="shared" si="21"/>
        <v>12600</v>
      </c>
      <c r="O190" s="10">
        <f t="shared" si="15"/>
        <v>284200</v>
      </c>
      <c r="P190" s="10">
        <v>13.0369775</v>
      </c>
      <c r="Q190" s="10">
        <v>80.0471506</v>
      </c>
      <c r="R190" s="10" t="s">
        <v>24</v>
      </c>
      <c r="S190" s="11" t="s">
        <v>25</v>
      </c>
    </row>
    <row r="191" customHeight="1" spans="1:19">
      <c r="A191" s="40"/>
      <c r="B191" s="6">
        <v>190</v>
      </c>
      <c r="C191" s="7" t="s">
        <v>19</v>
      </c>
      <c r="D191" s="26" t="s">
        <v>27</v>
      </c>
      <c r="E191" s="8" t="s">
        <v>282</v>
      </c>
      <c r="F191" s="7" t="s">
        <v>283</v>
      </c>
      <c r="G191" s="10">
        <v>1</v>
      </c>
      <c r="H191" s="10">
        <v>50</v>
      </c>
      <c r="I191" s="10">
        <v>30</v>
      </c>
      <c r="J191" s="11" t="s">
        <v>23</v>
      </c>
      <c r="K191" s="11">
        <f t="shared" si="22"/>
        <v>1500</v>
      </c>
      <c r="L191" s="10">
        <v>250000</v>
      </c>
      <c r="M191" s="10">
        <f t="shared" si="17"/>
        <v>18000</v>
      </c>
      <c r="N191" s="10">
        <f t="shared" si="21"/>
        <v>10500</v>
      </c>
      <c r="O191" s="10">
        <f t="shared" si="15"/>
        <v>278500</v>
      </c>
      <c r="P191" s="10">
        <v>13.0507472</v>
      </c>
      <c r="Q191" s="10">
        <v>80.0890651</v>
      </c>
      <c r="R191" s="10" t="s">
        <v>24</v>
      </c>
      <c r="S191" s="11" t="s">
        <v>25</v>
      </c>
    </row>
    <row r="192" customHeight="1" spans="1:19">
      <c r="A192" s="40"/>
      <c r="B192" s="6">
        <v>191</v>
      </c>
      <c r="C192" s="7" t="s">
        <v>19</v>
      </c>
      <c r="D192" s="26" t="s">
        <v>27</v>
      </c>
      <c r="E192" s="8" t="s">
        <v>282</v>
      </c>
      <c r="F192" s="20" t="s">
        <v>284</v>
      </c>
      <c r="G192" s="10">
        <v>1</v>
      </c>
      <c r="H192" s="10">
        <v>50</v>
      </c>
      <c r="I192" s="10">
        <v>30</v>
      </c>
      <c r="J192" s="11" t="s">
        <v>23</v>
      </c>
      <c r="K192" s="11">
        <f t="shared" si="22"/>
        <v>1500</v>
      </c>
      <c r="L192" s="10">
        <v>250000</v>
      </c>
      <c r="M192" s="10">
        <f t="shared" si="17"/>
        <v>18000</v>
      </c>
      <c r="N192" s="10">
        <f t="shared" si="21"/>
        <v>10500</v>
      </c>
      <c r="O192" s="10">
        <f t="shared" si="15"/>
        <v>278500</v>
      </c>
      <c r="P192" s="10">
        <v>13.0507472</v>
      </c>
      <c r="Q192" s="10">
        <v>80.0890651</v>
      </c>
      <c r="R192" s="10" t="s">
        <v>24</v>
      </c>
      <c r="S192" s="11" t="s">
        <v>25</v>
      </c>
    </row>
    <row r="193" customHeight="1" spans="1:19">
      <c r="A193" s="41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</row>
    <row r="194" ht="13.5" customHeight="1" spans="1:19">
      <c r="A194" s="43"/>
      <c r="C194" s="43"/>
      <c r="D194" s="43"/>
      <c r="E194" s="44"/>
      <c r="F194" s="45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</row>
    <row r="195" ht="13.5" customHeight="1" spans="1:19">
      <c r="A195" s="43"/>
      <c r="C195" s="43"/>
      <c r="D195" s="43"/>
      <c r="E195" s="44"/>
      <c r="F195" s="45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</row>
    <row r="196" ht="13.5" customHeight="1" spans="1:19">
      <c r="A196" s="43"/>
      <c r="C196" s="43"/>
      <c r="D196" s="43"/>
      <c r="E196" s="44"/>
      <c r="F196" s="45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</row>
    <row r="197" ht="13.5" customHeight="1" spans="1:19">
      <c r="A197" s="43"/>
      <c r="C197" s="43"/>
      <c r="D197" s="43"/>
      <c r="E197" s="44"/>
      <c r="F197" s="45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</row>
    <row r="198" ht="13.5" customHeight="1" spans="1:19">
      <c r="A198" s="43"/>
      <c r="C198" s="43"/>
      <c r="D198" s="43"/>
      <c r="E198" s="44"/>
      <c r="F198" s="45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</row>
    <row r="199" ht="13.5" customHeight="1" spans="1:19">
      <c r="A199" s="43"/>
      <c r="C199" s="43"/>
      <c r="D199" s="43"/>
      <c r="E199" s="44"/>
      <c r="F199" s="45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</row>
    <row r="200" ht="13.5" customHeight="1" spans="1:19">
      <c r="A200" s="43"/>
      <c r="C200" s="43"/>
      <c r="D200" s="43"/>
      <c r="E200" s="44"/>
      <c r="F200" s="45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</row>
    <row r="201" ht="13.5" customHeight="1" spans="1:19">
      <c r="A201" s="43"/>
      <c r="C201" s="43"/>
      <c r="D201" s="43"/>
      <c r="E201" s="44"/>
      <c r="F201" s="45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</row>
    <row r="202" ht="13.5" customHeight="1" spans="1:19">
      <c r="A202" s="43"/>
      <c r="C202" s="43"/>
      <c r="D202" s="43"/>
      <c r="E202" s="44"/>
      <c r="F202" s="45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</row>
    <row r="203" ht="13.5" customHeight="1" spans="1:19">
      <c r="A203" s="43"/>
      <c r="C203" s="43"/>
      <c r="D203" s="43"/>
      <c r="E203" s="44"/>
      <c r="F203" s="45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</row>
    <row r="204" ht="13.5" customHeight="1" spans="1:19">
      <c r="A204" s="43"/>
      <c r="C204" s="43"/>
      <c r="D204" s="43"/>
      <c r="E204" s="44"/>
      <c r="F204" s="45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</row>
    <row r="205" ht="13.5" customHeight="1" spans="1:19">
      <c r="A205" s="43"/>
      <c r="C205" s="43"/>
      <c r="D205" s="43"/>
      <c r="E205" s="44"/>
      <c r="F205" s="45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</row>
    <row r="206" ht="13.5" customHeight="1" spans="1:19">
      <c r="A206" s="43"/>
      <c r="C206" s="43"/>
      <c r="D206" s="43"/>
      <c r="E206" s="44"/>
      <c r="F206" s="45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</row>
    <row r="207" ht="13.5" customHeight="1" spans="1:19">
      <c r="A207" s="43"/>
      <c r="C207" s="43"/>
      <c r="D207" s="43"/>
      <c r="E207" s="44"/>
      <c r="F207" s="45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</row>
    <row r="208" ht="13.5" customHeight="1" spans="1:19">
      <c r="A208" s="43"/>
      <c r="C208" s="43"/>
      <c r="D208" s="43"/>
      <c r="E208" s="44"/>
      <c r="F208" s="45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</row>
    <row r="209" ht="13.5" customHeight="1" spans="1:19">
      <c r="A209" s="43"/>
      <c r="C209" s="43"/>
      <c r="D209" s="43"/>
      <c r="E209" s="44"/>
      <c r="F209" s="45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</row>
    <row r="210" ht="13.5" customHeight="1" spans="1:19">
      <c r="A210" s="43"/>
      <c r="C210" s="43"/>
      <c r="D210" s="43"/>
      <c r="E210" s="44"/>
      <c r="F210" s="45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</row>
    <row r="211" ht="13.5" customHeight="1" spans="1:19">
      <c r="A211" s="43"/>
      <c r="C211" s="43"/>
      <c r="D211" s="43"/>
      <c r="E211" s="44"/>
      <c r="F211" s="45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</row>
    <row r="212" ht="13.5" customHeight="1" spans="1:19">
      <c r="A212" s="43"/>
      <c r="C212" s="43"/>
      <c r="D212" s="43"/>
      <c r="E212" s="44"/>
      <c r="F212" s="45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</row>
    <row r="213" ht="13.5" customHeight="1" spans="1:19">
      <c r="A213" s="43"/>
      <c r="C213" s="43"/>
      <c r="D213" s="43"/>
      <c r="E213" s="44"/>
      <c r="F213" s="45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</row>
    <row r="214" ht="13.5" customHeight="1" spans="1:19">
      <c r="A214" s="43"/>
      <c r="C214" s="43"/>
      <c r="D214" s="43"/>
      <c r="E214" s="44"/>
      <c r="F214" s="45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</row>
    <row r="215" ht="13.5" customHeight="1" spans="1:19">
      <c r="A215" s="43"/>
      <c r="C215" s="43"/>
      <c r="D215" s="43"/>
      <c r="E215" s="44"/>
      <c r="F215" s="45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</row>
    <row r="216" ht="13.5" customHeight="1" spans="1:19">
      <c r="A216" s="43"/>
      <c r="C216" s="43"/>
      <c r="D216" s="43"/>
      <c r="E216" s="44"/>
      <c r="F216" s="45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</row>
    <row r="217" ht="13.5" customHeight="1" spans="1:19">
      <c r="A217" s="43"/>
      <c r="C217" s="43"/>
      <c r="D217" s="43"/>
      <c r="E217" s="44"/>
      <c r="F217" s="45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</row>
    <row r="218" ht="13.5" customHeight="1" spans="1:19">
      <c r="A218" s="43"/>
      <c r="C218" s="43"/>
      <c r="D218" s="43"/>
      <c r="E218" s="44"/>
      <c r="F218" s="45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</row>
    <row r="219" ht="13.5" customHeight="1" spans="1:19">
      <c r="A219" s="43"/>
      <c r="C219" s="43"/>
      <c r="D219" s="43"/>
      <c r="E219" s="44"/>
      <c r="F219" s="45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</row>
    <row r="220" ht="13.5" customHeight="1" spans="1:19">
      <c r="A220" s="43"/>
      <c r="C220" s="43"/>
      <c r="D220" s="43"/>
      <c r="E220" s="44"/>
      <c r="F220" s="45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</row>
    <row r="221" ht="13.5" customHeight="1" spans="1:19">
      <c r="A221" s="43"/>
      <c r="C221" s="43"/>
      <c r="D221" s="43"/>
      <c r="E221" s="44"/>
      <c r="F221" s="45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</row>
    <row r="222" ht="13.5" customHeight="1" spans="1:19">
      <c r="A222" s="43"/>
      <c r="C222" s="43"/>
      <c r="D222" s="43"/>
      <c r="E222" s="44"/>
      <c r="F222" s="45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</row>
    <row r="223" ht="13.5" customHeight="1" spans="1:19">
      <c r="A223" s="43"/>
      <c r="C223" s="43"/>
      <c r="D223" s="43"/>
      <c r="E223" s="44"/>
      <c r="F223" s="45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</row>
    <row r="224" ht="13.5" customHeight="1" spans="1:19">
      <c r="A224" s="43"/>
      <c r="C224" s="43"/>
      <c r="D224" s="43"/>
      <c r="E224" s="44"/>
      <c r="F224" s="45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</row>
    <row r="225" ht="13.5" customHeight="1" spans="1:19">
      <c r="A225" s="43"/>
      <c r="C225" s="43"/>
      <c r="D225" s="43"/>
      <c r="E225" s="44"/>
      <c r="F225" s="45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</row>
    <row r="226" ht="13.5" customHeight="1" spans="1:19">
      <c r="A226" s="43"/>
      <c r="C226" s="43"/>
      <c r="D226" s="43"/>
      <c r="E226" s="44"/>
      <c r="F226" s="45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</row>
    <row r="227" ht="13.5" customHeight="1" spans="1:19">
      <c r="A227" s="43"/>
      <c r="C227" s="43"/>
      <c r="D227" s="43"/>
      <c r="E227" s="44"/>
      <c r="F227" s="45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</row>
    <row r="228" ht="13.5" customHeight="1" spans="1:19">
      <c r="A228" s="43"/>
      <c r="C228" s="43"/>
      <c r="D228" s="43"/>
      <c r="E228" s="44"/>
      <c r="F228" s="45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</row>
    <row r="229" ht="13.5" customHeight="1" spans="1:19">
      <c r="A229" s="43"/>
      <c r="C229" s="43"/>
      <c r="D229" s="43"/>
      <c r="E229" s="44"/>
      <c r="F229" s="45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</row>
    <row r="230" ht="13.5" customHeight="1" spans="1:19">
      <c r="A230" s="43"/>
      <c r="C230" s="43"/>
      <c r="D230" s="43"/>
      <c r="E230" s="44"/>
      <c r="F230" s="45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</row>
    <row r="231" ht="13.5" customHeight="1" spans="1:19">
      <c r="A231" s="43"/>
      <c r="C231" s="43"/>
      <c r="D231" s="43"/>
      <c r="E231" s="44"/>
      <c r="F231" s="45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</row>
    <row r="232" ht="13.5" customHeight="1" spans="1:19">
      <c r="A232" s="43"/>
      <c r="C232" s="43"/>
      <c r="D232" s="43"/>
      <c r="E232" s="44"/>
      <c r="F232" s="45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</row>
    <row r="233" ht="13.5" customHeight="1" spans="1:19">
      <c r="A233" s="43"/>
      <c r="C233" s="43"/>
      <c r="D233" s="43"/>
      <c r="E233" s="44"/>
      <c r="F233" s="45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</row>
    <row r="234" ht="13.5" customHeight="1" spans="1:19">
      <c r="A234" s="43"/>
      <c r="C234" s="43"/>
      <c r="D234" s="43"/>
      <c r="E234" s="44"/>
      <c r="F234" s="45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</row>
    <row r="235" ht="13.5" customHeight="1" spans="1:19">
      <c r="A235" s="43"/>
      <c r="C235" s="43"/>
      <c r="D235" s="43"/>
      <c r="E235" s="44"/>
      <c r="F235" s="45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</row>
    <row r="236" ht="13.5" customHeight="1" spans="1:19">
      <c r="A236" s="43"/>
      <c r="C236" s="43"/>
      <c r="D236" s="43"/>
      <c r="E236" s="44"/>
      <c r="F236" s="45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</row>
    <row r="237" ht="13.5" customHeight="1" spans="1:19">
      <c r="A237" s="43"/>
      <c r="C237" s="43"/>
      <c r="D237" s="43"/>
      <c r="E237" s="44"/>
      <c r="F237" s="45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</row>
    <row r="238" ht="13.5" customHeight="1" spans="1:19">
      <c r="A238" s="43"/>
      <c r="C238" s="43"/>
      <c r="D238" s="43"/>
      <c r="E238" s="44"/>
      <c r="F238" s="45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</row>
    <row r="239" ht="13.5" customHeight="1" spans="1:19">
      <c r="A239" s="43"/>
      <c r="C239" s="43"/>
      <c r="D239" s="43"/>
      <c r="E239" s="44"/>
      <c r="F239" s="45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</row>
    <row r="240" ht="13.5" customHeight="1" spans="1:19">
      <c r="A240" s="43"/>
      <c r="C240" s="43"/>
      <c r="D240" s="43"/>
      <c r="E240" s="44"/>
      <c r="F240" s="45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</row>
    <row r="241" ht="13.5" customHeight="1" spans="1:19">
      <c r="A241" s="43"/>
      <c r="C241" s="43"/>
      <c r="D241" s="43"/>
      <c r="E241" s="44"/>
      <c r="F241" s="45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</row>
    <row r="242" ht="13.5" customHeight="1" spans="1:19">
      <c r="A242" s="43"/>
      <c r="C242" s="43"/>
      <c r="D242" s="43"/>
      <c r="E242" s="44"/>
      <c r="F242" s="45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</row>
    <row r="243" ht="13.5" customHeight="1" spans="1:19">
      <c r="A243" s="43"/>
      <c r="C243" s="43"/>
      <c r="D243" s="43"/>
      <c r="E243" s="44"/>
      <c r="F243" s="45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</row>
    <row r="244" ht="13.5" customHeight="1" spans="1:19">
      <c r="A244" s="43"/>
      <c r="C244" s="43"/>
      <c r="D244" s="43"/>
      <c r="E244" s="44"/>
      <c r="F244" s="45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</row>
    <row r="245" ht="13.5" customHeight="1" spans="1:19">
      <c r="A245" s="43"/>
      <c r="C245" s="43"/>
      <c r="D245" s="43"/>
      <c r="E245" s="44"/>
      <c r="F245" s="45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</row>
    <row r="246" ht="13.5" customHeight="1" spans="1:19">
      <c r="A246" s="43"/>
      <c r="C246" s="43"/>
      <c r="D246" s="43"/>
      <c r="E246" s="44"/>
      <c r="F246" s="45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</row>
    <row r="247" ht="13.5" customHeight="1" spans="1:19">
      <c r="A247" s="43"/>
      <c r="C247" s="43"/>
      <c r="D247" s="43"/>
      <c r="E247" s="44"/>
      <c r="F247" s="45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</row>
    <row r="248" ht="13.5" customHeight="1" spans="1:19">
      <c r="A248" s="43"/>
      <c r="C248" s="43"/>
      <c r="D248" s="43"/>
      <c r="E248" s="44"/>
      <c r="F248" s="45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</row>
    <row r="249" ht="13.5" customHeight="1" spans="1:19">
      <c r="A249" s="43"/>
      <c r="C249" s="43"/>
      <c r="D249" s="43"/>
      <c r="E249" s="44"/>
      <c r="F249" s="45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</row>
    <row r="250" ht="13.5" customHeight="1" spans="1:19">
      <c r="A250" s="43"/>
      <c r="C250" s="43"/>
      <c r="D250" s="43"/>
      <c r="E250" s="44"/>
      <c r="F250" s="45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</row>
    <row r="251" ht="13.5" customHeight="1" spans="1:19">
      <c r="A251" s="43"/>
      <c r="C251" s="43"/>
      <c r="D251" s="43"/>
      <c r="E251" s="44"/>
      <c r="F251" s="45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</row>
    <row r="252" ht="13.5" customHeight="1" spans="1:19">
      <c r="A252" s="43"/>
      <c r="C252" s="43"/>
      <c r="D252" s="43"/>
      <c r="E252" s="44"/>
      <c r="F252" s="45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</row>
    <row r="253" ht="13.5" customHeight="1" spans="1:19">
      <c r="A253" s="43"/>
      <c r="C253" s="43"/>
      <c r="D253" s="43"/>
      <c r="E253" s="44"/>
      <c r="F253" s="45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</row>
    <row r="254" ht="13.5" customHeight="1" spans="1:19">
      <c r="A254" s="43"/>
      <c r="C254" s="43"/>
      <c r="D254" s="43"/>
      <c r="E254" s="44"/>
      <c r="F254" s="45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</row>
    <row r="255" ht="13.5" customHeight="1" spans="1:19">
      <c r="A255" s="43"/>
      <c r="C255" s="43"/>
      <c r="D255" s="43"/>
      <c r="E255" s="44"/>
      <c r="F255" s="45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</row>
    <row r="256" ht="13.5" customHeight="1" spans="1:19">
      <c r="A256" s="43"/>
      <c r="C256" s="43"/>
      <c r="D256" s="43"/>
      <c r="E256" s="44"/>
      <c r="F256" s="45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</row>
    <row r="257" ht="13.5" customHeight="1" spans="1:19">
      <c r="A257" s="43"/>
      <c r="C257" s="43"/>
      <c r="D257" s="43"/>
      <c r="E257" s="44"/>
      <c r="F257" s="45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</row>
    <row r="258" ht="13.5" customHeight="1" spans="1:19">
      <c r="A258" s="43"/>
      <c r="C258" s="43"/>
      <c r="D258" s="43"/>
      <c r="E258" s="44"/>
      <c r="F258" s="45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</row>
    <row r="259" ht="13.5" customHeight="1" spans="1:19">
      <c r="A259" s="43"/>
      <c r="C259" s="43"/>
      <c r="D259" s="43"/>
      <c r="E259" s="44"/>
      <c r="F259" s="45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</row>
    <row r="260" ht="13.5" customHeight="1" spans="1:19">
      <c r="A260" s="43"/>
      <c r="C260" s="43"/>
      <c r="D260" s="43"/>
      <c r="E260" s="44"/>
      <c r="F260" s="45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</row>
    <row r="261" ht="13.5" customHeight="1" spans="1:19">
      <c r="A261" s="43"/>
      <c r="C261" s="43"/>
      <c r="D261" s="43"/>
      <c r="E261" s="44"/>
      <c r="F261" s="45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</row>
    <row r="262" ht="13.5" customHeight="1" spans="1:19">
      <c r="A262" s="43"/>
      <c r="C262" s="43"/>
      <c r="D262" s="43"/>
      <c r="E262" s="44"/>
      <c r="F262" s="45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</row>
    <row r="263" ht="13.5" customHeight="1" spans="1:19">
      <c r="A263" s="43"/>
      <c r="C263" s="43"/>
      <c r="D263" s="43"/>
      <c r="E263" s="44"/>
      <c r="F263" s="45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</row>
    <row r="264" ht="13.5" customHeight="1" spans="1:19">
      <c r="A264" s="43"/>
      <c r="C264" s="43"/>
      <c r="D264" s="43"/>
      <c r="E264" s="44"/>
      <c r="F264" s="45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</row>
    <row r="265" ht="13.5" customHeight="1" spans="1:19">
      <c r="A265" s="43"/>
      <c r="C265" s="43"/>
      <c r="D265" s="43"/>
      <c r="E265" s="44"/>
      <c r="F265" s="45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</row>
    <row r="266" ht="13.5" customHeight="1" spans="1:19">
      <c r="A266" s="43"/>
      <c r="C266" s="43"/>
      <c r="D266" s="43"/>
      <c r="E266" s="44"/>
      <c r="F266" s="45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</row>
    <row r="267" ht="13.5" customHeight="1" spans="1:19">
      <c r="A267" s="43"/>
      <c r="C267" s="43"/>
      <c r="D267" s="43"/>
      <c r="E267" s="44"/>
      <c r="F267" s="45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</row>
    <row r="268" ht="13.5" customHeight="1" spans="1:19">
      <c r="A268" s="43"/>
      <c r="C268" s="43"/>
      <c r="D268" s="43"/>
      <c r="E268" s="44"/>
      <c r="F268" s="45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</row>
    <row r="269" ht="13.5" customHeight="1" spans="1:19">
      <c r="A269" s="43"/>
      <c r="C269" s="43"/>
      <c r="D269" s="43"/>
      <c r="E269" s="44"/>
      <c r="F269" s="45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</row>
    <row r="270" ht="13.5" customHeight="1" spans="1:19">
      <c r="A270" s="43"/>
      <c r="C270" s="43"/>
      <c r="D270" s="43"/>
      <c r="E270" s="44"/>
      <c r="F270" s="45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</row>
    <row r="271" ht="13.5" customHeight="1" spans="1:19">
      <c r="A271" s="43"/>
      <c r="C271" s="43"/>
      <c r="D271" s="43"/>
      <c r="E271" s="44"/>
      <c r="F271" s="45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</row>
    <row r="272" ht="13.5" customHeight="1" spans="1:19">
      <c r="A272" s="43"/>
      <c r="C272" s="43"/>
      <c r="D272" s="43"/>
      <c r="E272" s="44"/>
      <c r="F272" s="45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</row>
    <row r="273" ht="13.5" customHeight="1" spans="1:19">
      <c r="A273" s="43"/>
      <c r="C273" s="43"/>
      <c r="D273" s="43"/>
      <c r="E273" s="44"/>
      <c r="F273" s="45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</row>
    <row r="274" ht="13.5" customHeight="1" spans="1:19">
      <c r="A274" s="43"/>
      <c r="C274" s="43"/>
      <c r="D274" s="43"/>
      <c r="E274" s="44"/>
      <c r="F274" s="45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</row>
    <row r="275" ht="13.5" customHeight="1" spans="1:19">
      <c r="A275" s="43"/>
      <c r="C275" s="43"/>
      <c r="D275" s="43"/>
      <c r="E275" s="44"/>
      <c r="F275" s="45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</row>
    <row r="276" ht="13.5" customHeight="1" spans="1:19">
      <c r="A276" s="43"/>
      <c r="C276" s="43"/>
      <c r="D276" s="43"/>
      <c r="E276" s="44"/>
      <c r="F276" s="45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</row>
    <row r="277" ht="13.5" customHeight="1" spans="1:19">
      <c r="A277" s="43"/>
      <c r="C277" s="43"/>
      <c r="D277" s="43"/>
      <c r="E277" s="44"/>
      <c r="F277" s="45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</row>
    <row r="278" ht="13.5" customHeight="1" spans="1:19">
      <c r="A278" s="43"/>
      <c r="C278" s="43"/>
      <c r="D278" s="43"/>
      <c r="E278" s="44"/>
      <c r="F278" s="45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</row>
    <row r="279" ht="13.5" customHeight="1" spans="1:19">
      <c r="A279" s="43"/>
      <c r="C279" s="43"/>
      <c r="D279" s="43"/>
      <c r="E279" s="44"/>
      <c r="F279" s="45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</row>
    <row r="280" ht="13.5" customHeight="1" spans="1:19">
      <c r="A280" s="43"/>
      <c r="C280" s="43"/>
      <c r="D280" s="43"/>
      <c r="E280" s="44"/>
      <c r="F280" s="45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</row>
    <row r="281" ht="13.5" customHeight="1" spans="1:19">
      <c r="A281" s="43"/>
      <c r="C281" s="43"/>
      <c r="D281" s="43"/>
      <c r="E281" s="44"/>
      <c r="F281" s="45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</row>
    <row r="282" ht="13.5" customHeight="1" spans="1:19">
      <c r="A282" s="43"/>
      <c r="C282" s="43"/>
      <c r="D282" s="43"/>
      <c r="E282" s="44"/>
      <c r="F282" s="45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</row>
    <row r="283" ht="13.5" customHeight="1" spans="1:19">
      <c r="A283" s="43"/>
      <c r="C283" s="43"/>
      <c r="D283" s="43"/>
      <c r="E283" s="44"/>
      <c r="F283" s="45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</row>
    <row r="284" ht="13.5" customHeight="1" spans="1:19">
      <c r="A284" s="43"/>
      <c r="C284" s="43"/>
      <c r="D284" s="43"/>
      <c r="E284" s="44"/>
      <c r="F284" s="45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</row>
    <row r="285" ht="13.5" customHeight="1" spans="1:19">
      <c r="A285" s="43"/>
      <c r="C285" s="43"/>
      <c r="D285" s="43"/>
      <c r="E285" s="44"/>
      <c r="F285" s="45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</row>
    <row r="286" ht="13.5" customHeight="1" spans="1:19">
      <c r="A286" s="43"/>
      <c r="C286" s="43"/>
      <c r="D286" s="43"/>
      <c r="E286" s="44"/>
      <c r="F286" s="45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</row>
    <row r="287" ht="13.5" customHeight="1" spans="1:19">
      <c r="A287" s="43"/>
      <c r="C287" s="43"/>
      <c r="D287" s="43"/>
      <c r="E287" s="44"/>
      <c r="F287" s="45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</row>
    <row r="288" ht="13.5" customHeight="1" spans="1:19">
      <c r="A288" s="43"/>
      <c r="C288" s="43"/>
      <c r="D288" s="43"/>
      <c r="E288" s="44"/>
      <c r="F288" s="45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</row>
    <row r="289" ht="13.5" customHeight="1" spans="1:19">
      <c r="A289" s="43"/>
      <c r="C289" s="43"/>
      <c r="D289" s="43"/>
      <c r="E289" s="44"/>
      <c r="F289" s="45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</row>
    <row r="290" ht="13.5" customHeight="1" spans="1:19">
      <c r="A290" s="43"/>
      <c r="C290" s="43"/>
      <c r="D290" s="43"/>
      <c r="E290" s="44"/>
      <c r="F290" s="45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</row>
    <row r="291" ht="13.5" customHeight="1" spans="1:19">
      <c r="A291" s="43"/>
      <c r="C291" s="43"/>
      <c r="D291" s="43"/>
      <c r="E291" s="44"/>
      <c r="F291" s="45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</row>
    <row r="292" ht="13.5" customHeight="1" spans="1:19">
      <c r="A292" s="43"/>
      <c r="C292" s="43"/>
      <c r="D292" s="43"/>
      <c r="E292" s="44"/>
      <c r="F292" s="45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</row>
    <row r="293" ht="13.5" customHeight="1" spans="1:19">
      <c r="A293" s="43"/>
      <c r="C293" s="43"/>
      <c r="D293" s="43"/>
      <c r="E293" s="44"/>
      <c r="F293" s="45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</row>
    <row r="294" ht="13.5" customHeight="1" spans="1:19">
      <c r="A294" s="43"/>
      <c r="C294" s="43"/>
      <c r="D294" s="43"/>
      <c r="E294" s="44"/>
      <c r="F294" s="45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</row>
    <row r="295" ht="13.5" customHeight="1" spans="1:19">
      <c r="A295" s="43"/>
      <c r="C295" s="43"/>
      <c r="D295" s="43"/>
      <c r="E295" s="44"/>
      <c r="F295" s="45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</row>
    <row r="296" ht="13.5" customHeight="1" spans="1:19">
      <c r="A296" s="43"/>
      <c r="C296" s="43"/>
      <c r="D296" s="43"/>
      <c r="E296" s="44"/>
      <c r="F296" s="45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</row>
    <row r="297" ht="13.5" customHeight="1" spans="1:19">
      <c r="A297" s="43"/>
      <c r="C297" s="43"/>
      <c r="D297" s="43"/>
      <c r="E297" s="44"/>
      <c r="F297" s="45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</row>
    <row r="298" ht="13.5" customHeight="1" spans="1:19">
      <c r="A298" s="43"/>
      <c r="C298" s="43"/>
      <c r="D298" s="43"/>
      <c r="E298" s="44"/>
      <c r="F298" s="45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</row>
    <row r="299" ht="13.5" customHeight="1" spans="1:19">
      <c r="A299" s="43"/>
      <c r="C299" s="43"/>
      <c r="D299" s="43"/>
      <c r="E299" s="44"/>
      <c r="F299" s="45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</row>
    <row r="300" ht="13.5" customHeight="1" spans="1:19">
      <c r="A300" s="43"/>
      <c r="C300" s="43"/>
      <c r="D300" s="43"/>
      <c r="E300" s="44"/>
      <c r="F300" s="45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</row>
    <row r="301" ht="13.5" customHeight="1" spans="1:19">
      <c r="A301" s="43"/>
      <c r="C301" s="43"/>
      <c r="D301" s="43"/>
      <c r="E301" s="44"/>
      <c r="F301" s="45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</row>
    <row r="302" ht="13.5" customHeight="1" spans="1:19">
      <c r="A302" s="43"/>
      <c r="C302" s="43"/>
      <c r="D302" s="43"/>
      <c r="E302" s="44"/>
      <c r="F302" s="45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</row>
    <row r="303" ht="13.5" customHeight="1" spans="1:19">
      <c r="A303" s="43"/>
      <c r="C303" s="43"/>
      <c r="D303" s="43"/>
      <c r="E303" s="44"/>
      <c r="F303" s="45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</row>
    <row r="304" ht="13.5" customHeight="1" spans="1:19">
      <c r="A304" s="43"/>
      <c r="C304" s="43"/>
      <c r="D304" s="43"/>
      <c r="E304" s="44"/>
      <c r="F304" s="45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</row>
    <row r="305" ht="13.5" customHeight="1" spans="1:19">
      <c r="A305" s="43"/>
      <c r="C305" s="43"/>
      <c r="D305" s="43"/>
      <c r="E305" s="44"/>
      <c r="F305" s="45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</row>
    <row r="306" ht="13.5" customHeight="1" spans="1:19">
      <c r="A306" s="43"/>
      <c r="C306" s="43"/>
      <c r="D306" s="43"/>
      <c r="E306" s="44"/>
      <c r="F306" s="45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</row>
    <row r="307" ht="13.5" customHeight="1" spans="1:19">
      <c r="A307" s="43"/>
      <c r="C307" s="43"/>
      <c r="D307" s="43"/>
      <c r="E307" s="44"/>
      <c r="F307" s="45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</row>
    <row r="308" ht="13.5" customHeight="1" spans="1:19">
      <c r="A308" s="43"/>
      <c r="C308" s="43"/>
      <c r="D308" s="43"/>
      <c r="E308" s="44"/>
      <c r="F308" s="45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</row>
    <row r="309" ht="13.5" customHeight="1" spans="1:19">
      <c r="A309" s="43"/>
      <c r="C309" s="43"/>
      <c r="D309" s="43"/>
      <c r="E309" s="44"/>
      <c r="F309" s="45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</row>
    <row r="310" ht="13.5" customHeight="1" spans="1:19">
      <c r="A310" s="43"/>
      <c r="C310" s="43"/>
      <c r="D310" s="43"/>
      <c r="E310" s="44"/>
      <c r="F310" s="45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</row>
    <row r="311" ht="13.5" customHeight="1" spans="1:19">
      <c r="A311" s="46"/>
      <c r="C311" s="46"/>
      <c r="D311" s="46"/>
      <c r="E311" s="47"/>
      <c r="F311" s="48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</row>
    <row r="312" ht="13.5" customHeight="1" spans="1:19">
      <c r="A312" s="49"/>
      <c r="C312" s="49"/>
      <c r="D312" s="49"/>
      <c r="E312" s="50"/>
      <c r="F312" s="51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</row>
    <row r="313" ht="13.5" customHeight="1" spans="1:19">
      <c r="A313" s="49"/>
      <c r="C313" s="49"/>
      <c r="D313" s="49"/>
      <c r="E313" s="50"/>
      <c r="F313" s="51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</row>
    <row r="314" ht="13.5" customHeight="1" spans="1:19">
      <c r="A314" s="49"/>
      <c r="C314" s="49"/>
      <c r="D314" s="49"/>
      <c r="E314" s="50"/>
      <c r="F314" s="51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</row>
    <row r="315" ht="13.5" customHeight="1" spans="1:19">
      <c r="A315" s="49"/>
      <c r="C315" s="49"/>
      <c r="D315" s="49"/>
      <c r="E315" s="50"/>
      <c r="F315" s="51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</row>
    <row r="316" ht="13.5" customHeight="1" spans="1:19">
      <c r="A316" s="49"/>
      <c r="C316" s="49"/>
      <c r="D316" s="49"/>
      <c r="E316" s="50"/>
      <c r="F316" s="51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</row>
    <row r="317" ht="13.5" customHeight="1" spans="1:19">
      <c r="A317" s="49"/>
      <c r="C317" s="49"/>
      <c r="D317" s="49"/>
      <c r="E317" s="50"/>
      <c r="F317" s="51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</row>
    <row r="318" ht="13.5" customHeight="1" spans="1:19">
      <c r="A318" s="49"/>
      <c r="C318" s="49"/>
      <c r="D318" s="49"/>
      <c r="E318" s="50"/>
      <c r="F318" s="51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</row>
    <row r="319" ht="13.5" customHeight="1" spans="1:19">
      <c r="A319" s="49"/>
      <c r="C319" s="49"/>
      <c r="D319" s="49"/>
      <c r="E319" s="50"/>
      <c r="F319" s="51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</row>
    <row r="320" ht="13.5" customHeight="1" spans="1:19">
      <c r="A320" s="49"/>
      <c r="C320" s="49"/>
      <c r="D320" s="49"/>
      <c r="E320" s="50"/>
      <c r="F320" s="51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</row>
    <row r="321" ht="13.5" customHeight="1" spans="1:19">
      <c r="A321" s="49"/>
      <c r="C321" s="49"/>
      <c r="D321" s="49"/>
      <c r="E321" s="50"/>
      <c r="F321" s="51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</row>
    <row r="322" ht="13.5" customHeight="1" spans="1:19">
      <c r="A322" s="49"/>
      <c r="C322" s="49"/>
      <c r="D322" s="49"/>
      <c r="E322" s="50"/>
      <c r="F322" s="51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</row>
    <row r="323" ht="13.5" customHeight="1" spans="1:19">
      <c r="A323" s="49"/>
      <c r="C323" s="49"/>
      <c r="D323" s="49"/>
      <c r="E323" s="50"/>
      <c r="F323" s="51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</row>
    <row r="324" ht="13.5" customHeight="1" spans="1:19">
      <c r="A324" s="49"/>
      <c r="C324" s="49"/>
      <c r="D324" s="49"/>
      <c r="E324" s="50"/>
      <c r="F324" s="51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</row>
    <row r="325" ht="13.5" customHeight="1" spans="1:19">
      <c r="A325" s="49"/>
      <c r="C325" s="49"/>
      <c r="D325" s="49"/>
      <c r="E325" s="50"/>
      <c r="F325" s="51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</row>
    <row r="326" ht="13.5" customHeight="1" spans="1:19">
      <c r="A326" s="49"/>
      <c r="C326" s="49"/>
      <c r="D326" s="49"/>
      <c r="E326" s="50"/>
      <c r="F326" s="51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</row>
    <row r="327" ht="13.5" customHeight="1" spans="1:19">
      <c r="A327" s="49"/>
      <c r="C327" s="49"/>
      <c r="D327" s="49"/>
      <c r="E327" s="50"/>
      <c r="F327" s="51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</row>
    <row r="328" ht="13.5" customHeight="1" spans="1:19">
      <c r="A328" s="49"/>
      <c r="C328" s="49"/>
      <c r="D328" s="49"/>
      <c r="E328" s="50"/>
      <c r="F328" s="51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</row>
    <row r="329" ht="13.5" customHeight="1" spans="1:19">
      <c r="A329" s="49"/>
      <c r="C329" s="49"/>
      <c r="D329" s="49"/>
      <c r="E329" s="50"/>
      <c r="F329" s="51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</row>
    <row r="330" ht="13.5" customHeight="1" spans="1:19">
      <c r="A330" s="49"/>
      <c r="C330" s="49"/>
      <c r="D330" s="49"/>
      <c r="E330" s="50"/>
      <c r="F330" s="51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</row>
    <row r="331" ht="13.5" customHeight="1" spans="1:19">
      <c r="A331" s="49"/>
      <c r="C331" s="49"/>
      <c r="D331" s="49"/>
      <c r="E331" s="50"/>
      <c r="F331" s="51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</row>
    <row r="332" ht="13.5" customHeight="1" spans="1:19">
      <c r="A332" s="49"/>
      <c r="C332" s="49"/>
      <c r="D332" s="49"/>
      <c r="E332" s="50"/>
      <c r="F332" s="51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</row>
    <row r="333" ht="13.5" customHeight="1" spans="1:19">
      <c r="A333" s="49"/>
      <c r="C333" s="49"/>
      <c r="D333" s="49"/>
      <c r="E333" s="50"/>
      <c r="F333" s="51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</row>
    <row r="334" ht="13.5" customHeight="1" spans="1:19">
      <c r="A334" s="49"/>
      <c r="C334" s="49"/>
      <c r="D334" s="49"/>
      <c r="E334" s="50"/>
      <c r="F334" s="51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</row>
    <row r="335" ht="13.5" customHeight="1" spans="1:19">
      <c r="A335" s="49"/>
      <c r="C335" s="49"/>
      <c r="D335" s="49"/>
      <c r="E335" s="50"/>
      <c r="F335" s="51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</row>
    <row r="336" ht="13.5" customHeight="1" spans="1:19">
      <c r="A336" s="49"/>
      <c r="C336" s="49"/>
      <c r="D336" s="49"/>
      <c r="E336" s="50"/>
      <c r="F336" s="51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</row>
    <row r="337" ht="13.5" customHeight="1" spans="1:19">
      <c r="A337" s="49"/>
      <c r="C337" s="49"/>
      <c r="D337" s="49"/>
      <c r="E337" s="50"/>
      <c r="F337" s="51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</row>
    <row r="338" ht="13.5" customHeight="1" spans="1:19">
      <c r="A338" s="49"/>
      <c r="C338" s="49"/>
      <c r="D338" s="49"/>
      <c r="E338" s="50"/>
      <c r="F338" s="51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</row>
    <row r="339" ht="13.5" customHeight="1" spans="1:19">
      <c r="A339" s="49"/>
      <c r="C339" s="49"/>
      <c r="D339" s="49"/>
      <c r="E339" s="50"/>
      <c r="F339" s="51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</row>
    <row r="340" ht="13.5" customHeight="1" spans="1:19">
      <c r="A340" s="49"/>
      <c r="C340" s="49"/>
      <c r="D340" s="49"/>
      <c r="E340" s="50"/>
      <c r="F340" s="51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</row>
    <row r="341" ht="13.5" customHeight="1" spans="1:19">
      <c r="A341" s="49"/>
      <c r="C341" s="49"/>
      <c r="D341" s="49"/>
      <c r="E341" s="50"/>
      <c r="F341" s="51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</row>
    <row r="342" ht="13.5" customHeight="1" spans="1:19">
      <c r="A342" s="49"/>
      <c r="C342" s="49"/>
      <c r="D342" s="49"/>
      <c r="E342" s="50"/>
      <c r="F342" s="51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</row>
    <row r="343" ht="13.5" customHeight="1" spans="1:19">
      <c r="A343" s="49"/>
      <c r="C343" s="49"/>
      <c r="D343" s="49"/>
      <c r="E343" s="50"/>
      <c r="F343" s="51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</row>
    <row r="344" ht="13.5" customHeight="1" spans="1:19">
      <c r="A344" s="49"/>
      <c r="C344" s="49"/>
      <c r="D344" s="49"/>
      <c r="E344" s="50"/>
      <c r="F344" s="51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</row>
    <row r="345" ht="13.5" customHeight="1" spans="1:19">
      <c r="A345" s="49"/>
      <c r="C345" s="49"/>
      <c r="D345" s="49"/>
      <c r="E345" s="50"/>
      <c r="F345" s="51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</row>
    <row r="346" ht="13.5" customHeight="1" spans="1:19">
      <c r="A346" s="49"/>
      <c r="C346" s="49"/>
      <c r="D346" s="49"/>
      <c r="E346" s="50"/>
      <c r="F346" s="51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</row>
    <row r="347" ht="13.5" customHeight="1" spans="1:19">
      <c r="A347" s="49"/>
      <c r="C347" s="49"/>
      <c r="D347" s="49"/>
      <c r="E347" s="50"/>
      <c r="F347" s="51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</row>
    <row r="348" ht="13.5" customHeight="1" spans="1:19">
      <c r="A348" s="49"/>
      <c r="C348" s="49"/>
      <c r="D348" s="49"/>
      <c r="E348" s="50"/>
      <c r="F348" s="51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</row>
    <row r="349" ht="13.5" customHeight="1" spans="1:19">
      <c r="A349" s="49"/>
      <c r="C349" s="49"/>
      <c r="D349" s="49"/>
      <c r="E349" s="50"/>
      <c r="F349" s="51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</row>
    <row r="350" ht="13.5" customHeight="1" spans="1:19">
      <c r="A350" s="49"/>
      <c r="C350" s="49"/>
      <c r="D350" s="49"/>
      <c r="E350" s="50"/>
      <c r="F350" s="51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</row>
    <row r="351" ht="13.5" customHeight="1" spans="1:19">
      <c r="A351" s="49"/>
      <c r="C351" s="49"/>
      <c r="D351" s="49"/>
      <c r="E351" s="50"/>
      <c r="F351" s="51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</row>
    <row r="352" ht="13.5" customHeight="1" spans="1:19">
      <c r="A352" s="49"/>
      <c r="C352" s="49"/>
      <c r="D352" s="49"/>
      <c r="E352" s="50"/>
      <c r="F352" s="51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</row>
    <row r="353" ht="13.5" customHeight="1" spans="1:19">
      <c r="A353" s="49"/>
      <c r="C353" s="49"/>
      <c r="D353" s="49"/>
      <c r="E353" s="50"/>
      <c r="F353" s="51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</row>
    <row r="354" ht="13.5" customHeight="1" spans="1:19">
      <c r="A354" s="49"/>
      <c r="C354" s="49"/>
      <c r="D354" s="49"/>
      <c r="E354" s="50"/>
      <c r="F354" s="51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</row>
    <row r="355" ht="13.5" customHeight="1" spans="1:19">
      <c r="A355" s="49"/>
      <c r="C355" s="49"/>
      <c r="D355" s="49"/>
      <c r="E355" s="50"/>
      <c r="F355" s="51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</row>
    <row r="356" ht="13.5" customHeight="1" spans="1:19">
      <c r="A356" s="49"/>
      <c r="C356" s="49"/>
      <c r="D356" s="49"/>
      <c r="E356" s="50"/>
      <c r="F356" s="51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</row>
    <row r="357" ht="13.5" customHeight="1" spans="1:19">
      <c r="A357" s="49"/>
      <c r="C357" s="49"/>
      <c r="D357" s="49"/>
      <c r="E357" s="50"/>
      <c r="F357" s="51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</row>
    <row r="358" ht="13.5" customHeight="1" spans="1:19">
      <c r="A358" s="49"/>
      <c r="C358" s="49"/>
      <c r="D358" s="49"/>
      <c r="E358" s="50"/>
      <c r="F358" s="51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</row>
    <row r="359" ht="13.5" customHeight="1" spans="1:19">
      <c r="A359" s="49"/>
      <c r="C359" s="49"/>
      <c r="D359" s="49"/>
      <c r="E359" s="50"/>
      <c r="F359" s="51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</row>
    <row r="360" ht="13.5" customHeight="1" spans="1:19">
      <c r="A360" s="49"/>
      <c r="C360" s="49"/>
      <c r="D360" s="49"/>
      <c r="E360" s="50"/>
      <c r="F360" s="51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</row>
    <row r="361" ht="13.5" customHeight="1" spans="1:19">
      <c r="A361" s="49"/>
      <c r="C361" s="49"/>
      <c r="D361" s="49"/>
      <c r="E361" s="50"/>
      <c r="F361" s="51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</row>
    <row r="362" ht="13.5" customHeight="1" spans="1:19">
      <c r="A362" s="49"/>
      <c r="C362" s="49"/>
      <c r="D362" s="49"/>
      <c r="E362" s="50"/>
      <c r="F362" s="51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</row>
    <row r="363" ht="13.5" customHeight="1" spans="1:19">
      <c r="A363" s="49"/>
      <c r="C363" s="49"/>
      <c r="D363" s="49"/>
      <c r="E363" s="50"/>
      <c r="F363" s="51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</row>
    <row r="364" ht="13.5" customHeight="1" spans="1:19">
      <c r="A364" s="49"/>
      <c r="C364" s="49"/>
      <c r="D364" s="49"/>
      <c r="E364" s="50"/>
      <c r="F364" s="51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</row>
    <row r="365" ht="13.5" customHeight="1" spans="1:19">
      <c r="A365" s="49"/>
      <c r="C365" s="49"/>
      <c r="D365" s="49"/>
      <c r="E365" s="50"/>
      <c r="F365" s="51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</row>
    <row r="366" ht="13.5" customHeight="1" spans="1:19">
      <c r="A366" s="49"/>
      <c r="C366" s="49"/>
      <c r="D366" s="49"/>
      <c r="E366" s="50"/>
      <c r="F366" s="51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</row>
    <row r="367" ht="13.5" customHeight="1" spans="1:19">
      <c r="A367" s="49"/>
      <c r="C367" s="49"/>
      <c r="D367" s="49"/>
      <c r="E367" s="50"/>
      <c r="F367" s="51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</row>
    <row r="368" ht="13.5" customHeight="1" spans="1:19">
      <c r="A368" s="49"/>
      <c r="C368" s="49"/>
      <c r="D368" s="49"/>
      <c r="E368" s="50"/>
      <c r="F368" s="51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</row>
    <row r="369" ht="13.5" customHeight="1" spans="1:19">
      <c r="A369" s="49"/>
      <c r="C369" s="49"/>
      <c r="D369" s="49"/>
      <c r="E369" s="50"/>
      <c r="F369" s="51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</row>
    <row r="370" ht="13.5" customHeight="1" spans="1:19">
      <c r="A370" s="49"/>
      <c r="C370" s="49"/>
      <c r="D370" s="49"/>
      <c r="E370" s="50"/>
      <c r="F370" s="51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</row>
    <row r="371" ht="13.5" customHeight="1" spans="1:19">
      <c r="A371" s="49"/>
      <c r="C371" s="49"/>
      <c r="D371" s="49"/>
      <c r="E371" s="50"/>
      <c r="F371" s="51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</row>
    <row r="372" ht="13.5" customHeight="1" spans="1:19">
      <c r="A372" s="49"/>
      <c r="C372" s="49"/>
      <c r="D372" s="49"/>
      <c r="E372" s="50"/>
      <c r="F372" s="51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</row>
    <row r="373" ht="13.5" customHeight="1" spans="1:19">
      <c r="A373" s="49"/>
      <c r="C373" s="49"/>
      <c r="D373" s="49"/>
      <c r="E373" s="50"/>
      <c r="F373" s="51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</row>
    <row r="374" ht="13.5" customHeight="1" spans="1:19">
      <c r="A374" s="49"/>
      <c r="C374" s="49"/>
      <c r="D374" s="49"/>
      <c r="E374" s="50"/>
      <c r="F374" s="51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</row>
    <row r="375" ht="13.5" customHeight="1" spans="1:19">
      <c r="A375" s="49"/>
      <c r="C375" s="49"/>
      <c r="D375" s="49"/>
      <c r="E375" s="50"/>
      <c r="F375" s="51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</row>
    <row r="376" ht="13.5" customHeight="1" spans="1:19">
      <c r="A376" s="49"/>
      <c r="C376" s="49"/>
      <c r="D376" s="49"/>
      <c r="E376" s="50"/>
      <c r="F376" s="51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</row>
    <row r="377" ht="13.5" customHeight="1" spans="1:19">
      <c r="A377" s="49"/>
      <c r="C377" s="49"/>
      <c r="D377" s="49"/>
      <c r="E377" s="50"/>
      <c r="F377" s="51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</row>
    <row r="378" ht="13.5" customHeight="1" spans="1:19">
      <c r="A378" s="49"/>
      <c r="C378" s="49"/>
      <c r="D378" s="49"/>
      <c r="E378" s="50"/>
      <c r="F378" s="51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</row>
    <row r="379" ht="13.5" customHeight="1" spans="1:19">
      <c r="A379" s="49"/>
      <c r="C379" s="49"/>
      <c r="D379" s="49"/>
      <c r="E379" s="50"/>
      <c r="F379" s="51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</row>
    <row r="380" ht="13.5" customHeight="1" spans="1:19">
      <c r="A380" s="49"/>
      <c r="C380" s="49"/>
      <c r="D380" s="49"/>
      <c r="E380" s="50"/>
      <c r="F380" s="51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</row>
    <row r="381" ht="13.5" customHeight="1" spans="1:19">
      <c r="A381" s="49"/>
      <c r="C381" s="49"/>
      <c r="D381" s="49"/>
      <c r="E381" s="50"/>
      <c r="F381" s="51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</row>
    <row r="382" ht="13.5" customHeight="1" spans="1:19">
      <c r="A382" s="49"/>
      <c r="C382" s="49"/>
      <c r="D382" s="49"/>
      <c r="E382" s="50"/>
      <c r="F382" s="51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</row>
    <row r="383" ht="13.5" customHeight="1" spans="1:19">
      <c r="A383" s="49"/>
      <c r="C383" s="49"/>
      <c r="D383" s="49"/>
      <c r="E383" s="50"/>
      <c r="F383" s="51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</row>
    <row r="384" ht="13.5" customHeight="1" spans="1:19">
      <c r="A384" s="49"/>
      <c r="C384" s="49"/>
      <c r="D384" s="49"/>
      <c r="E384" s="50"/>
      <c r="F384" s="51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</row>
    <row r="385" ht="13.5" customHeight="1" spans="1:19">
      <c r="A385" s="49"/>
      <c r="C385" s="49"/>
      <c r="D385" s="49"/>
      <c r="E385" s="50"/>
      <c r="F385" s="51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</row>
    <row r="386" ht="13.5" customHeight="1" spans="1:19">
      <c r="A386" s="49"/>
      <c r="C386" s="49"/>
      <c r="D386" s="49"/>
      <c r="E386" s="50"/>
      <c r="F386" s="51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</row>
    <row r="387" ht="13.5" customHeight="1" spans="1:19">
      <c r="A387" s="49"/>
      <c r="C387" s="49"/>
      <c r="D387" s="49"/>
      <c r="E387" s="50"/>
      <c r="F387" s="51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</row>
    <row r="388" ht="13.5" customHeight="1" spans="1:19">
      <c r="A388" s="49"/>
      <c r="C388" s="49"/>
      <c r="D388" s="49"/>
      <c r="E388" s="50"/>
      <c r="F388" s="51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</row>
    <row r="389" ht="13.5" customHeight="1" spans="1:19">
      <c r="A389" s="49"/>
      <c r="C389" s="49"/>
      <c r="D389" s="49"/>
      <c r="E389" s="50"/>
      <c r="F389" s="51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</row>
    <row r="390" ht="13.5" customHeight="1" spans="1:19">
      <c r="A390" s="49"/>
      <c r="C390" s="49"/>
      <c r="D390" s="49"/>
      <c r="E390" s="50"/>
      <c r="F390" s="51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</row>
    <row r="391" ht="13.5" customHeight="1" spans="1:19">
      <c r="A391" s="49"/>
      <c r="C391" s="49"/>
      <c r="D391" s="49"/>
      <c r="E391" s="50"/>
      <c r="F391" s="51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</row>
    <row r="392" ht="13.5" customHeight="1" spans="1:19">
      <c r="A392" s="49"/>
      <c r="C392" s="49"/>
      <c r="D392" s="49"/>
      <c r="E392" s="50"/>
      <c r="F392" s="51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</row>
    <row r="393" ht="13.5" customHeight="1" spans="1:19">
      <c r="A393" s="49"/>
      <c r="C393" s="49"/>
      <c r="D393" s="49"/>
      <c r="E393" s="50"/>
      <c r="F393" s="51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</row>
    <row r="394" ht="13.5" customHeight="1" spans="1:19">
      <c r="A394" s="49"/>
      <c r="C394" s="49"/>
      <c r="D394" s="49"/>
      <c r="E394" s="50"/>
      <c r="F394" s="51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</row>
    <row r="395" ht="13.5" customHeight="1" spans="1:19">
      <c r="A395" s="49"/>
      <c r="C395" s="49"/>
      <c r="D395" s="49"/>
      <c r="E395" s="50"/>
      <c r="F395" s="51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</row>
    <row r="396" ht="13.5" customHeight="1" spans="1:19">
      <c r="A396" s="49"/>
      <c r="C396" s="49"/>
      <c r="D396" s="49"/>
      <c r="E396" s="50"/>
      <c r="F396" s="51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</row>
    <row r="397" ht="13.5" customHeight="1" spans="1:19">
      <c r="A397" s="49"/>
      <c r="C397" s="49"/>
      <c r="D397" s="49"/>
      <c r="E397" s="50"/>
      <c r="F397" s="51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</row>
    <row r="398" ht="13.5" customHeight="1" spans="1:19">
      <c r="A398" s="49"/>
      <c r="C398" s="49"/>
      <c r="D398" s="49"/>
      <c r="E398" s="50"/>
      <c r="F398" s="51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</row>
    <row r="399" ht="13.5" customHeight="1" spans="1:19">
      <c r="A399" s="49"/>
      <c r="C399" s="49"/>
      <c r="D399" s="49"/>
      <c r="E399" s="50"/>
      <c r="F399" s="51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</row>
    <row r="400" ht="13.5" customHeight="1" spans="1:19">
      <c r="A400" s="49"/>
      <c r="C400" s="49"/>
      <c r="D400" s="49"/>
      <c r="E400" s="50"/>
      <c r="F400" s="51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</row>
    <row r="401" ht="13.5" customHeight="1" spans="1:19">
      <c r="A401" s="49"/>
      <c r="C401" s="49"/>
      <c r="D401" s="49"/>
      <c r="E401" s="50"/>
      <c r="F401" s="51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</row>
    <row r="402" ht="13.5" customHeight="1" spans="1:19">
      <c r="A402" s="49"/>
      <c r="C402" s="49"/>
      <c r="D402" s="49"/>
      <c r="E402" s="50"/>
      <c r="F402" s="51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</row>
    <row r="403" ht="13.5" customHeight="1" spans="1:19">
      <c r="A403" s="49"/>
      <c r="C403" s="49"/>
      <c r="D403" s="49"/>
      <c r="E403" s="50"/>
      <c r="F403" s="51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</row>
    <row r="404" ht="13.5" customHeight="1" spans="1:19">
      <c r="A404" s="49"/>
      <c r="C404" s="49"/>
      <c r="D404" s="49"/>
      <c r="E404" s="50"/>
      <c r="F404" s="51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</row>
    <row r="405" ht="13.5" customHeight="1" spans="1:19">
      <c r="A405" s="49"/>
      <c r="C405" s="49"/>
      <c r="D405" s="49"/>
      <c r="E405" s="50"/>
      <c r="F405" s="51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</row>
    <row r="406" ht="13.5" customHeight="1" spans="1:19">
      <c r="A406" s="49"/>
      <c r="C406" s="49"/>
      <c r="D406" s="49"/>
      <c r="E406" s="50"/>
      <c r="F406" s="51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</row>
    <row r="407" ht="13.5" customHeight="1" spans="1:19">
      <c r="A407" s="49"/>
      <c r="C407" s="49"/>
      <c r="D407" s="49"/>
      <c r="E407" s="50"/>
      <c r="F407" s="51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</row>
    <row r="408" ht="13.5" customHeight="1" spans="1:19">
      <c r="A408" s="49"/>
      <c r="C408" s="49"/>
      <c r="D408" s="49"/>
      <c r="E408" s="50"/>
      <c r="F408" s="51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</row>
    <row r="409" ht="13.5" customHeight="1" spans="1:19">
      <c r="A409" s="49"/>
      <c r="C409" s="49"/>
      <c r="D409" s="49"/>
      <c r="E409" s="50"/>
      <c r="F409" s="51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</row>
    <row r="410" ht="13.5" customHeight="1" spans="1:19">
      <c r="A410" s="49"/>
      <c r="C410" s="49"/>
      <c r="D410" s="49"/>
      <c r="E410" s="50"/>
      <c r="F410" s="51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</row>
    <row r="411" ht="13.5" customHeight="1" spans="1:19">
      <c r="A411" s="49"/>
      <c r="C411" s="49"/>
      <c r="D411" s="49"/>
      <c r="E411" s="50"/>
      <c r="F411" s="51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</row>
    <row r="412" ht="13.5" customHeight="1" spans="1:19">
      <c r="A412" s="49"/>
      <c r="C412" s="49"/>
      <c r="D412" s="49"/>
      <c r="E412" s="50"/>
      <c r="F412" s="51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</row>
    <row r="413" ht="13.5" customHeight="1" spans="1:19">
      <c r="A413" s="49"/>
      <c r="C413" s="49"/>
      <c r="D413" s="49"/>
      <c r="E413" s="50"/>
      <c r="F413" s="51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</row>
    <row r="414" ht="13.5" customHeight="1" spans="1:19">
      <c r="A414" s="49"/>
      <c r="C414" s="49"/>
      <c r="D414" s="49"/>
      <c r="E414" s="50"/>
      <c r="F414" s="51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</row>
    <row r="415" ht="13.5" customHeight="1" spans="1:19">
      <c r="A415" s="49"/>
      <c r="C415" s="49"/>
      <c r="D415" s="49"/>
      <c r="E415" s="50"/>
      <c r="F415" s="51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</row>
    <row r="416" ht="13.5" customHeight="1" spans="1:19">
      <c r="A416" s="49"/>
      <c r="C416" s="49"/>
      <c r="D416" s="49"/>
      <c r="E416" s="50"/>
      <c r="F416" s="51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</row>
    <row r="417" ht="13.5" customHeight="1" spans="1:19">
      <c r="A417" s="49"/>
      <c r="C417" s="49"/>
      <c r="D417" s="49"/>
      <c r="E417" s="50"/>
      <c r="F417" s="51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</row>
    <row r="418" ht="13.5" customHeight="1" spans="1:19">
      <c r="A418" s="49"/>
      <c r="C418" s="49"/>
      <c r="D418" s="49"/>
      <c r="E418" s="50"/>
      <c r="F418" s="51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</row>
    <row r="419" ht="13.5" customHeight="1" spans="1:19">
      <c r="A419" s="49"/>
      <c r="C419" s="49"/>
      <c r="D419" s="49"/>
      <c r="E419" s="50"/>
      <c r="F419" s="51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</row>
    <row r="420" ht="13.5" customHeight="1" spans="1:19">
      <c r="A420" s="49"/>
      <c r="C420" s="49"/>
      <c r="D420" s="49"/>
      <c r="E420" s="50"/>
      <c r="F420" s="51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</row>
    <row r="421" ht="13.5" customHeight="1" spans="1:19">
      <c r="A421" s="49"/>
      <c r="C421" s="49"/>
      <c r="D421" s="49"/>
      <c r="E421" s="50"/>
      <c r="F421" s="51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</row>
    <row r="422" ht="13.5" customHeight="1" spans="1:19">
      <c r="A422" s="49"/>
      <c r="C422" s="49"/>
      <c r="D422" s="49"/>
      <c r="E422" s="50"/>
      <c r="F422" s="51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</row>
    <row r="423" ht="13.5" customHeight="1" spans="1:19">
      <c r="A423" s="49"/>
      <c r="C423" s="49"/>
      <c r="D423" s="49"/>
      <c r="E423" s="50"/>
      <c r="F423" s="51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</row>
    <row r="424" ht="13.5" customHeight="1" spans="1:19">
      <c r="A424" s="49"/>
      <c r="C424" s="49"/>
      <c r="D424" s="49"/>
      <c r="E424" s="50"/>
      <c r="F424" s="51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</row>
    <row r="425" ht="13.5" customHeight="1" spans="1:19">
      <c r="A425" s="49"/>
      <c r="C425" s="49"/>
      <c r="D425" s="49"/>
      <c r="E425" s="50"/>
      <c r="F425" s="51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</row>
    <row r="426" ht="13.5" customHeight="1" spans="1:19">
      <c r="A426" s="49"/>
      <c r="C426" s="49"/>
      <c r="D426" s="49"/>
      <c r="E426" s="50"/>
      <c r="F426" s="51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</row>
    <row r="427" ht="13.5" customHeight="1" spans="1:19">
      <c r="A427" s="49"/>
      <c r="C427" s="49"/>
      <c r="D427" s="49"/>
      <c r="E427" s="50"/>
      <c r="F427" s="51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</row>
    <row r="428" ht="13.5" customHeight="1" spans="1:19">
      <c r="A428" s="49"/>
      <c r="C428" s="49"/>
      <c r="D428" s="49"/>
      <c r="E428" s="50"/>
      <c r="F428" s="51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</row>
    <row r="429" ht="13.5" customHeight="1" spans="1:19">
      <c r="A429" s="49"/>
      <c r="C429" s="49"/>
      <c r="D429" s="49"/>
      <c r="E429" s="50"/>
      <c r="F429" s="51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</row>
    <row r="430" ht="13.5" customHeight="1" spans="1:19">
      <c r="A430" s="49"/>
      <c r="C430" s="49"/>
      <c r="D430" s="49"/>
      <c r="E430" s="50"/>
      <c r="F430" s="51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</row>
    <row r="431" ht="13.5" customHeight="1" spans="1:19">
      <c r="A431" s="49"/>
      <c r="C431" s="49"/>
      <c r="D431" s="49"/>
      <c r="E431" s="50"/>
      <c r="F431" s="51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</row>
    <row r="432" ht="13.5" customHeight="1" spans="1:19">
      <c r="A432" s="49"/>
      <c r="C432" s="49"/>
      <c r="D432" s="49"/>
      <c r="E432" s="50"/>
      <c r="F432" s="51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</row>
    <row r="433" ht="13.5" customHeight="1" spans="1:19">
      <c r="A433" s="49"/>
      <c r="C433" s="49"/>
      <c r="D433" s="49"/>
      <c r="E433" s="50"/>
      <c r="F433" s="51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</row>
    <row r="434" ht="13.5" customHeight="1" spans="1:19">
      <c r="A434" s="49"/>
      <c r="C434" s="49"/>
      <c r="D434" s="49"/>
      <c r="E434" s="50"/>
      <c r="F434" s="51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</row>
    <row r="435" ht="13.5" customHeight="1" spans="1:19">
      <c r="A435" s="49"/>
      <c r="C435" s="49"/>
      <c r="D435" s="49"/>
      <c r="E435" s="50"/>
      <c r="F435" s="51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</row>
    <row r="436" ht="13.5" customHeight="1" spans="1:19">
      <c r="A436" s="49"/>
      <c r="C436" s="49"/>
      <c r="D436" s="49"/>
      <c r="E436" s="50"/>
      <c r="F436" s="51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</row>
    <row r="437" ht="13.5" customHeight="1" spans="1:19">
      <c r="A437" s="49"/>
      <c r="C437" s="49"/>
      <c r="D437" s="49"/>
      <c r="E437" s="50"/>
      <c r="F437" s="51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</row>
    <row r="438" ht="13.5" customHeight="1" spans="1:19">
      <c r="A438" s="49"/>
      <c r="C438" s="49"/>
      <c r="D438" s="49"/>
      <c r="E438" s="50"/>
      <c r="F438" s="51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</row>
    <row r="439" ht="13.5" customHeight="1" spans="1:19">
      <c r="A439" s="49"/>
      <c r="C439" s="49"/>
      <c r="D439" s="49"/>
      <c r="E439" s="50"/>
      <c r="F439" s="51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</row>
    <row r="440" ht="13.5" customHeight="1" spans="1:19">
      <c r="A440" s="49"/>
      <c r="C440" s="49"/>
      <c r="D440" s="49"/>
      <c r="E440" s="50"/>
      <c r="F440" s="51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</row>
    <row r="441" ht="13.5" customHeight="1" spans="1:19">
      <c r="A441" s="49"/>
      <c r="C441" s="49"/>
      <c r="D441" s="49"/>
      <c r="E441" s="50"/>
      <c r="F441" s="51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</row>
    <row r="442" ht="13.5" customHeight="1" spans="1:19">
      <c r="A442" s="49"/>
      <c r="C442" s="49"/>
      <c r="D442" s="49"/>
      <c r="E442" s="50"/>
      <c r="F442" s="51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</row>
    <row r="443" ht="13.5" customHeight="1" spans="1:19">
      <c r="A443" s="49"/>
      <c r="C443" s="49"/>
      <c r="D443" s="49"/>
      <c r="E443" s="50"/>
      <c r="F443" s="51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</row>
    <row r="444" ht="13.5" customHeight="1" spans="1:19">
      <c r="A444" s="49"/>
      <c r="C444" s="49"/>
      <c r="D444" s="49"/>
      <c r="E444" s="50"/>
      <c r="F444" s="51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</row>
    <row r="445" ht="13.5" customHeight="1" spans="1:19">
      <c r="A445" s="49"/>
      <c r="C445" s="49"/>
      <c r="D445" s="49"/>
      <c r="E445" s="50"/>
      <c r="F445" s="51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</row>
    <row r="446" ht="13.5" customHeight="1" spans="1:19">
      <c r="A446" s="49"/>
      <c r="C446" s="49"/>
      <c r="D446" s="49"/>
      <c r="E446" s="50"/>
      <c r="F446" s="51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</row>
    <row r="447" ht="13.5" customHeight="1" spans="1:19">
      <c r="A447" s="49"/>
      <c r="C447" s="49"/>
      <c r="D447" s="49"/>
      <c r="E447" s="50"/>
      <c r="F447" s="51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</row>
    <row r="448" ht="13.5" customHeight="1" spans="1:19">
      <c r="A448" s="49"/>
      <c r="C448" s="49"/>
      <c r="D448" s="49"/>
      <c r="E448" s="50"/>
      <c r="F448" s="51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</row>
    <row r="449" ht="13.5" customHeight="1" spans="1:19">
      <c r="A449" s="49"/>
      <c r="C449" s="49"/>
      <c r="D449" s="49"/>
      <c r="E449" s="50"/>
      <c r="F449" s="51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</row>
    <row r="450" ht="13.5" customHeight="1" spans="1:19">
      <c r="A450" s="49"/>
      <c r="C450" s="49"/>
      <c r="D450" s="49"/>
      <c r="E450" s="50"/>
      <c r="F450" s="51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</row>
    <row r="451" ht="13.5" customHeight="1" spans="1:19">
      <c r="A451" s="49"/>
      <c r="C451" s="49"/>
      <c r="D451" s="49"/>
      <c r="E451" s="50"/>
      <c r="F451" s="51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</row>
    <row r="452" ht="13.5" customHeight="1" spans="1:19">
      <c r="A452" s="49"/>
      <c r="C452" s="49"/>
      <c r="D452" s="49"/>
      <c r="E452" s="50"/>
      <c r="F452" s="51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</row>
    <row r="453" ht="13.5" customHeight="1" spans="1:19">
      <c r="A453" s="49"/>
      <c r="C453" s="49"/>
      <c r="D453" s="49"/>
      <c r="E453" s="50"/>
      <c r="F453" s="51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</row>
    <row r="454" ht="13.5" customHeight="1" spans="1:19">
      <c r="A454" s="49"/>
      <c r="C454" s="49"/>
      <c r="D454" s="49"/>
      <c r="E454" s="50"/>
      <c r="F454" s="51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</row>
    <row r="455" ht="13.5" customHeight="1" spans="1:19">
      <c r="A455" s="49"/>
      <c r="C455" s="49"/>
      <c r="D455" s="49"/>
      <c r="E455" s="50"/>
      <c r="F455" s="51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</row>
    <row r="456" ht="13.5" customHeight="1" spans="1:19">
      <c r="A456" s="49"/>
      <c r="C456" s="49"/>
      <c r="D456" s="49"/>
      <c r="E456" s="50"/>
      <c r="F456" s="51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</row>
    <row r="457" ht="13.5" customHeight="1" spans="1:19">
      <c r="A457" s="49"/>
      <c r="C457" s="49"/>
      <c r="D457" s="49"/>
      <c r="E457" s="50"/>
      <c r="F457" s="51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</row>
    <row r="458" ht="13.5" customHeight="1" spans="1:19">
      <c r="A458" s="49"/>
      <c r="C458" s="49"/>
      <c r="D458" s="49"/>
      <c r="E458" s="50"/>
      <c r="F458" s="51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</row>
    <row r="459" ht="13.5" customHeight="1" spans="1:19">
      <c r="A459" s="49"/>
      <c r="C459" s="49"/>
      <c r="D459" s="49"/>
      <c r="E459" s="50"/>
      <c r="F459" s="51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</row>
    <row r="460" ht="13.5" customHeight="1" spans="1:19">
      <c r="A460" s="49"/>
      <c r="C460" s="49"/>
      <c r="D460" s="49"/>
      <c r="E460" s="50"/>
      <c r="F460" s="51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</row>
    <row r="461" ht="13.5" customHeight="1" spans="1:19">
      <c r="A461" s="49"/>
      <c r="C461" s="49"/>
      <c r="D461" s="49"/>
      <c r="E461" s="50"/>
      <c r="F461" s="51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</row>
    <row r="462" ht="13.5" customHeight="1" spans="1:19">
      <c r="A462" s="49"/>
      <c r="C462" s="49"/>
      <c r="D462" s="49"/>
      <c r="E462" s="50"/>
      <c r="F462" s="51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</row>
    <row r="463" ht="13.5" customHeight="1" spans="1:19">
      <c r="A463" s="49"/>
      <c r="C463" s="49"/>
      <c r="D463" s="49"/>
      <c r="E463" s="50"/>
      <c r="F463" s="51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</row>
    <row r="464" ht="13.5" customHeight="1" spans="1:19">
      <c r="A464" s="49"/>
      <c r="C464" s="49"/>
      <c r="D464" s="49"/>
      <c r="E464" s="50"/>
      <c r="F464" s="51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</row>
    <row r="465" ht="13.5" customHeight="1" spans="1:19">
      <c r="A465" s="49"/>
      <c r="C465" s="49"/>
      <c r="D465" s="49"/>
      <c r="E465" s="50"/>
      <c r="F465" s="51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</row>
    <row r="466" ht="13.5" customHeight="1" spans="1:19">
      <c r="A466" s="49"/>
      <c r="C466" s="49"/>
      <c r="D466" s="49"/>
      <c r="E466" s="50"/>
      <c r="F466" s="51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</row>
    <row r="467" ht="13.5" customHeight="1" spans="1:19">
      <c r="A467" s="49"/>
      <c r="C467" s="49"/>
      <c r="D467" s="49"/>
      <c r="E467" s="50"/>
      <c r="F467" s="51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</row>
    <row r="468" ht="13.5" customHeight="1" spans="1:19">
      <c r="A468" s="49"/>
      <c r="C468" s="49"/>
      <c r="D468" s="49"/>
      <c r="E468" s="50"/>
      <c r="F468" s="51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</row>
    <row r="469" ht="13.5" customHeight="1" spans="1:19">
      <c r="A469" s="49"/>
      <c r="C469" s="49"/>
      <c r="D469" s="49"/>
      <c r="E469" s="50"/>
      <c r="F469" s="51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</row>
    <row r="470" ht="13.5" customHeight="1" spans="1:19">
      <c r="A470" s="49"/>
      <c r="C470" s="49"/>
      <c r="D470" s="49"/>
      <c r="E470" s="50"/>
      <c r="F470" s="51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</row>
    <row r="471" ht="13.5" customHeight="1" spans="1:19">
      <c r="A471" s="49"/>
      <c r="C471" s="49"/>
      <c r="D471" s="49"/>
      <c r="E471" s="50"/>
      <c r="F471" s="51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</row>
    <row r="472" ht="13.5" customHeight="1" spans="1:19">
      <c r="A472" s="49"/>
      <c r="C472" s="49"/>
      <c r="D472" s="49"/>
      <c r="E472" s="50"/>
      <c r="F472" s="51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</row>
    <row r="473" ht="13.5" customHeight="1" spans="1:19">
      <c r="A473" s="49"/>
      <c r="C473" s="49"/>
      <c r="D473" s="49"/>
      <c r="E473" s="50"/>
      <c r="F473" s="51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</row>
    <row r="474" ht="13.5" customHeight="1" spans="1:19">
      <c r="A474" s="49"/>
      <c r="C474" s="49"/>
      <c r="D474" s="49"/>
      <c r="E474" s="50"/>
      <c r="F474" s="51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</row>
    <row r="475" ht="13.5" customHeight="1" spans="1:19">
      <c r="A475" s="49"/>
      <c r="C475" s="49"/>
      <c r="D475" s="49"/>
      <c r="E475" s="50"/>
      <c r="F475" s="51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</row>
    <row r="476" ht="13.5" customHeight="1" spans="1:19">
      <c r="A476" s="49"/>
      <c r="C476" s="49"/>
      <c r="D476" s="49"/>
      <c r="E476" s="50"/>
      <c r="F476" s="51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</row>
    <row r="477" ht="13.5" customHeight="1" spans="1:19">
      <c r="A477" s="49"/>
      <c r="C477" s="49"/>
      <c r="D477" s="49"/>
      <c r="E477" s="50"/>
      <c r="F477" s="51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</row>
    <row r="478" ht="13.5" customHeight="1" spans="1:19">
      <c r="A478" s="49"/>
      <c r="C478" s="49"/>
      <c r="D478" s="49"/>
      <c r="E478" s="50"/>
      <c r="F478" s="51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</row>
    <row r="479" ht="13.5" customHeight="1" spans="1:19">
      <c r="A479" s="49"/>
      <c r="C479" s="49"/>
      <c r="D479" s="49"/>
      <c r="E479" s="50"/>
      <c r="F479" s="51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</row>
    <row r="480" ht="13.5" customHeight="1" spans="1:19">
      <c r="A480" s="49"/>
      <c r="C480" s="49"/>
      <c r="D480" s="49"/>
      <c r="E480" s="50"/>
      <c r="F480" s="51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</row>
    <row r="481" ht="13.5" customHeight="1" spans="1:19">
      <c r="A481" s="49"/>
      <c r="C481" s="49"/>
      <c r="D481" s="49"/>
      <c r="E481" s="50"/>
      <c r="F481" s="51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</row>
    <row r="482" ht="13.5" customHeight="1" spans="1:19">
      <c r="A482" s="49"/>
      <c r="C482" s="49"/>
      <c r="D482" s="49"/>
      <c r="E482" s="50"/>
      <c r="F482" s="51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</row>
    <row r="483" ht="13.5" customHeight="1" spans="1:19">
      <c r="A483" s="49"/>
      <c r="C483" s="49"/>
      <c r="D483" s="49"/>
      <c r="E483" s="50"/>
      <c r="F483" s="51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</row>
    <row r="484" ht="13.5" customHeight="1" spans="1:19">
      <c r="A484" s="49"/>
      <c r="C484" s="49"/>
      <c r="D484" s="49"/>
      <c r="E484" s="50"/>
      <c r="F484" s="51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</row>
    <row r="485" ht="13.5" customHeight="1" spans="1:19">
      <c r="A485" s="49"/>
      <c r="C485" s="49"/>
      <c r="D485" s="49"/>
      <c r="E485" s="50"/>
      <c r="F485" s="51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</row>
    <row r="486" ht="13.5" customHeight="1" spans="1:19">
      <c r="A486" s="49"/>
      <c r="C486" s="49"/>
      <c r="D486" s="49"/>
      <c r="E486" s="50"/>
      <c r="F486" s="51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</row>
    <row r="487" ht="13.5" customHeight="1" spans="1:19">
      <c r="A487" s="49"/>
      <c r="C487" s="49"/>
      <c r="D487" s="49"/>
      <c r="E487" s="50"/>
      <c r="F487" s="51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</row>
    <row r="488" ht="13.5" customHeight="1" spans="1:19">
      <c r="A488" s="49"/>
      <c r="C488" s="49"/>
      <c r="D488" s="49"/>
      <c r="E488" s="50"/>
      <c r="F488" s="51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</row>
    <row r="489" ht="13.5" customHeight="1" spans="1:19">
      <c r="A489" s="49"/>
      <c r="C489" s="49"/>
      <c r="D489" s="49"/>
      <c r="E489" s="50"/>
      <c r="F489" s="51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</row>
    <row r="490" ht="13.5" customHeight="1" spans="1:19">
      <c r="A490" s="49"/>
      <c r="C490" s="49"/>
      <c r="D490" s="49"/>
      <c r="E490" s="50"/>
      <c r="F490" s="51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</row>
    <row r="491" ht="13.5" customHeight="1" spans="1:19">
      <c r="A491" s="49"/>
      <c r="C491" s="49"/>
      <c r="D491" s="49"/>
      <c r="E491" s="50"/>
      <c r="F491" s="51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</row>
    <row r="492" ht="13.5" customHeight="1" spans="1:19">
      <c r="A492" s="49"/>
      <c r="C492" s="49"/>
      <c r="D492" s="49"/>
      <c r="E492" s="50"/>
      <c r="F492" s="51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</row>
    <row r="493" ht="13.5" customHeight="1" spans="1:19">
      <c r="A493" s="49"/>
      <c r="C493" s="49"/>
      <c r="D493" s="49"/>
      <c r="E493" s="50"/>
      <c r="F493" s="51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</row>
    <row r="494" ht="13.5" customHeight="1" spans="1:19">
      <c r="A494" s="49"/>
      <c r="C494" s="49"/>
      <c r="D494" s="49"/>
      <c r="E494" s="50"/>
      <c r="F494" s="51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</row>
    <row r="495" ht="13.5" customHeight="1" spans="1:19">
      <c r="A495" s="49"/>
      <c r="C495" s="49"/>
      <c r="D495" s="49"/>
      <c r="E495" s="50"/>
      <c r="F495" s="51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</row>
    <row r="496" ht="13.5" customHeight="1" spans="1:19">
      <c r="A496" s="49"/>
      <c r="C496" s="49"/>
      <c r="D496" s="49"/>
      <c r="E496" s="50"/>
      <c r="F496" s="51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</row>
    <row r="497" ht="13.5" customHeight="1" spans="1:19">
      <c r="A497" s="49"/>
      <c r="C497" s="49"/>
      <c r="D497" s="49"/>
      <c r="E497" s="50"/>
      <c r="F497" s="51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</row>
    <row r="498" ht="13.5" customHeight="1" spans="1:19">
      <c r="A498" s="49"/>
      <c r="C498" s="49"/>
      <c r="D498" s="49"/>
      <c r="E498" s="50"/>
      <c r="F498" s="51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</row>
    <row r="499" ht="13.5" customHeight="1" spans="1:19">
      <c r="A499" s="49"/>
      <c r="C499" s="49"/>
      <c r="D499" s="49"/>
      <c r="E499" s="50"/>
      <c r="F499" s="51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</row>
    <row r="500" ht="13.5" customHeight="1" spans="1:19">
      <c r="A500" s="49"/>
      <c r="C500" s="49"/>
      <c r="D500" s="49"/>
      <c r="E500" s="50"/>
      <c r="F500" s="51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</row>
    <row r="501" ht="13.5" customHeight="1" spans="1:19">
      <c r="A501" s="49"/>
      <c r="C501" s="49"/>
      <c r="D501" s="49"/>
      <c r="E501" s="50"/>
      <c r="F501" s="51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</row>
    <row r="502" ht="13.5" customHeight="1" spans="1:19">
      <c r="A502" s="49"/>
      <c r="C502" s="49"/>
      <c r="D502" s="49"/>
      <c r="E502" s="50"/>
      <c r="F502" s="51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</row>
    <row r="503" ht="13.5" customHeight="1" spans="1:19">
      <c r="A503" s="49"/>
      <c r="C503" s="49"/>
      <c r="D503" s="49"/>
      <c r="E503" s="50"/>
      <c r="F503" s="51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</row>
    <row r="504" ht="13.5" customHeight="1" spans="1:19">
      <c r="A504" s="49"/>
      <c r="C504" s="49"/>
      <c r="D504" s="49"/>
      <c r="E504" s="50"/>
      <c r="F504" s="51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</row>
    <row r="505" ht="13.5" customHeight="1" spans="1:19">
      <c r="A505" s="49"/>
      <c r="C505" s="49"/>
      <c r="D505" s="49"/>
      <c r="E505" s="50"/>
      <c r="F505" s="51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</row>
    <row r="506" ht="13.5" customHeight="1" spans="1:19">
      <c r="A506" s="49"/>
      <c r="C506" s="49"/>
      <c r="D506" s="49"/>
      <c r="E506" s="50"/>
      <c r="F506" s="51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</row>
    <row r="507" ht="13.5" customHeight="1" spans="1:19">
      <c r="A507" s="49"/>
      <c r="C507" s="49"/>
      <c r="D507" s="49"/>
      <c r="E507" s="50"/>
      <c r="F507" s="51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</row>
    <row r="508" ht="13.5" customHeight="1" spans="1:19">
      <c r="A508" s="49"/>
      <c r="C508" s="49"/>
      <c r="D508" s="49"/>
      <c r="E508" s="50"/>
      <c r="F508" s="51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</row>
    <row r="509" ht="13.5" customHeight="1" spans="1:19">
      <c r="A509" s="49"/>
      <c r="C509" s="49"/>
      <c r="D509" s="49"/>
      <c r="E509" s="50"/>
      <c r="F509" s="51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</row>
    <row r="510" ht="13.5" customHeight="1" spans="1:19">
      <c r="A510" s="49"/>
      <c r="C510" s="49"/>
      <c r="D510" s="49"/>
      <c r="E510" s="50"/>
      <c r="F510" s="51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</row>
    <row r="511" ht="13.5" customHeight="1" spans="1:19">
      <c r="A511" s="49"/>
      <c r="C511" s="49"/>
      <c r="D511" s="49"/>
      <c r="E511" s="50"/>
      <c r="F511" s="51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</row>
    <row r="512" ht="13.5" customHeight="1" spans="1:19">
      <c r="A512" s="49"/>
      <c r="C512" s="49"/>
      <c r="D512" s="49"/>
      <c r="E512" s="50"/>
      <c r="F512" s="51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</row>
    <row r="513" ht="13.5" customHeight="1" spans="1:19">
      <c r="A513" s="49"/>
      <c r="C513" s="49"/>
      <c r="D513" s="49"/>
      <c r="E513" s="50"/>
      <c r="F513" s="51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</row>
    <row r="514" ht="13.5" customHeight="1" spans="1:19">
      <c r="A514" s="49"/>
      <c r="C514" s="49"/>
      <c r="D514" s="49"/>
      <c r="E514" s="50"/>
      <c r="F514" s="51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</row>
    <row r="515" ht="13.5" customHeight="1" spans="1:19">
      <c r="A515" s="49"/>
      <c r="C515" s="49"/>
      <c r="D515" s="49"/>
      <c r="E515" s="50"/>
      <c r="F515" s="51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</row>
    <row r="516" ht="13.5" customHeight="1" spans="1:19">
      <c r="A516" s="49"/>
      <c r="C516" s="49"/>
      <c r="D516" s="49"/>
      <c r="E516" s="50"/>
      <c r="F516" s="51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</row>
    <row r="517" ht="13.5" customHeight="1" spans="1:19">
      <c r="A517" s="49"/>
      <c r="C517" s="49"/>
      <c r="D517" s="49"/>
      <c r="E517" s="50"/>
      <c r="F517" s="51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</row>
    <row r="518" ht="13.5" customHeight="1" spans="1:19">
      <c r="A518" s="49"/>
      <c r="C518" s="49"/>
      <c r="D518" s="49"/>
      <c r="E518" s="50"/>
      <c r="F518" s="51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</row>
    <row r="519" ht="13.5" customHeight="1" spans="1:19">
      <c r="A519" s="49"/>
      <c r="C519" s="49"/>
      <c r="D519" s="49"/>
      <c r="E519" s="50"/>
      <c r="F519" s="51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</row>
    <row r="520" ht="13.5" customHeight="1" spans="1:19">
      <c r="A520" s="49"/>
      <c r="C520" s="49"/>
      <c r="D520" s="49"/>
      <c r="E520" s="50"/>
      <c r="F520" s="51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</row>
    <row r="521" ht="13.5" customHeight="1" spans="1:19">
      <c r="A521" s="49"/>
      <c r="C521" s="49"/>
      <c r="D521" s="49"/>
      <c r="E521" s="50"/>
      <c r="F521" s="51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</row>
    <row r="522" ht="13.5" customHeight="1" spans="1:19">
      <c r="A522" s="49"/>
      <c r="C522" s="49"/>
      <c r="D522" s="49"/>
      <c r="E522" s="50"/>
      <c r="F522" s="51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</row>
    <row r="523" ht="13.5" customHeight="1" spans="1:19">
      <c r="A523" s="49"/>
      <c r="C523" s="49"/>
      <c r="D523" s="49"/>
      <c r="E523" s="50"/>
      <c r="F523" s="51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</row>
    <row r="524" ht="13.5" customHeight="1" spans="1:19">
      <c r="A524" s="49"/>
      <c r="C524" s="49"/>
      <c r="D524" s="49"/>
      <c r="E524" s="50"/>
      <c r="F524" s="51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</row>
    <row r="525" ht="13.5" customHeight="1" spans="1:19">
      <c r="A525" s="49"/>
      <c r="C525" s="49"/>
      <c r="D525" s="49"/>
      <c r="E525" s="50"/>
      <c r="F525" s="51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</row>
    <row r="526" ht="13.5" customHeight="1" spans="1:19">
      <c r="A526" s="49"/>
      <c r="C526" s="49"/>
      <c r="D526" s="49"/>
      <c r="E526" s="50"/>
      <c r="F526" s="51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</row>
    <row r="527" ht="13.5" customHeight="1" spans="1:19">
      <c r="A527" s="49"/>
      <c r="C527" s="49"/>
      <c r="D527" s="49"/>
      <c r="E527" s="50"/>
      <c r="F527" s="51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</row>
    <row r="528" ht="13.5" customHeight="1" spans="1:19">
      <c r="A528" s="49"/>
      <c r="C528" s="49"/>
      <c r="D528" s="49"/>
      <c r="E528" s="50"/>
      <c r="F528" s="51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</row>
    <row r="529" ht="13.5" customHeight="1" spans="1:19">
      <c r="A529" s="49"/>
      <c r="C529" s="49"/>
      <c r="D529" s="49"/>
      <c r="E529" s="50"/>
      <c r="F529" s="51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</row>
    <row r="530" ht="13.5" customHeight="1" spans="1:19">
      <c r="A530" s="49"/>
      <c r="C530" s="49"/>
      <c r="D530" s="49"/>
      <c r="E530" s="50"/>
      <c r="F530" s="51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</row>
    <row r="531" ht="13.5" customHeight="1" spans="1:19">
      <c r="A531" s="49"/>
      <c r="C531" s="49"/>
      <c r="D531" s="49"/>
      <c r="E531" s="50"/>
      <c r="F531" s="51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</row>
    <row r="532" ht="13.5" customHeight="1" spans="1:19">
      <c r="A532" s="49"/>
      <c r="C532" s="49"/>
      <c r="D532" s="49"/>
      <c r="E532" s="50"/>
      <c r="F532" s="51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</row>
    <row r="533" ht="13.5" customHeight="1" spans="1:19">
      <c r="A533" s="49"/>
      <c r="C533" s="49"/>
      <c r="D533" s="49"/>
      <c r="E533" s="50"/>
      <c r="F533" s="51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</row>
    <row r="534" ht="13.5" customHeight="1" spans="1:19">
      <c r="A534" s="49"/>
      <c r="C534" s="49"/>
      <c r="D534" s="49"/>
      <c r="E534" s="50"/>
      <c r="F534" s="51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</row>
    <row r="535" ht="13.5" customHeight="1" spans="1:19">
      <c r="A535" s="49"/>
      <c r="C535" s="49"/>
      <c r="D535" s="49"/>
      <c r="E535" s="50"/>
      <c r="F535" s="51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</row>
    <row r="536" ht="13.5" customHeight="1" spans="1:19">
      <c r="A536" s="49"/>
      <c r="C536" s="49"/>
      <c r="D536" s="49"/>
      <c r="E536" s="50"/>
      <c r="F536" s="51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</row>
    <row r="537" ht="13.5" customHeight="1" spans="1:19">
      <c r="A537" s="49"/>
      <c r="C537" s="49"/>
      <c r="D537" s="49"/>
      <c r="E537" s="50"/>
      <c r="F537" s="51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</row>
    <row r="538" ht="13.5" customHeight="1" spans="1:19">
      <c r="A538" s="49"/>
      <c r="C538" s="49"/>
      <c r="D538" s="49"/>
      <c r="E538" s="50"/>
      <c r="F538" s="51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</row>
    <row r="539" ht="13.5" customHeight="1" spans="1:19">
      <c r="A539" s="49"/>
      <c r="C539" s="49"/>
      <c r="D539" s="49"/>
      <c r="E539" s="50"/>
      <c r="F539" s="51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</row>
    <row r="540" ht="13.5" customHeight="1" spans="1:19">
      <c r="A540" s="49"/>
      <c r="C540" s="49"/>
      <c r="D540" s="49"/>
      <c r="E540" s="50"/>
      <c r="F540" s="51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</row>
    <row r="541" ht="13.5" customHeight="1" spans="1:19">
      <c r="A541" s="49"/>
      <c r="C541" s="49"/>
      <c r="D541" s="49"/>
      <c r="E541" s="50"/>
      <c r="F541" s="51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</row>
    <row r="542" ht="13.5" customHeight="1" spans="1:19">
      <c r="A542" s="49"/>
      <c r="C542" s="49"/>
      <c r="D542" s="49"/>
      <c r="E542" s="50"/>
      <c r="F542" s="51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</row>
    <row r="543" ht="13.5" customHeight="1" spans="1:19">
      <c r="A543" s="49"/>
      <c r="C543" s="49"/>
      <c r="D543" s="49"/>
      <c r="E543" s="50"/>
      <c r="F543" s="51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</row>
    <row r="544" ht="13.5" customHeight="1" spans="1:19">
      <c r="A544" s="49"/>
      <c r="C544" s="49"/>
      <c r="D544" s="49"/>
      <c r="E544" s="50"/>
      <c r="F544" s="51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</row>
    <row r="545" ht="13.5" customHeight="1" spans="1:19">
      <c r="A545" s="49"/>
      <c r="C545" s="49"/>
      <c r="D545" s="49"/>
      <c r="E545" s="50"/>
      <c r="F545" s="51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</row>
    <row r="546" ht="13.5" customHeight="1" spans="1:19">
      <c r="A546" s="49"/>
      <c r="C546" s="49"/>
      <c r="D546" s="49"/>
      <c r="E546" s="50"/>
      <c r="F546" s="51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</row>
    <row r="547" ht="13.5" customHeight="1" spans="1:19">
      <c r="A547" s="49"/>
      <c r="C547" s="49"/>
      <c r="D547" s="49"/>
      <c r="E547" s="50"/>
      <c r="F547" s="51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</row>
    <row r="548" ht="13.5" customHeight="1" spans="1:19">
      <c r="A548" s="49"/>
      <c r="C548" s="49"/>
      <c r="D548" s="49"/>
      <c r="E548" s="50"/>
      <c r="F548" s="51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</row>
    <row r="549" ht="13.5" customHeight="1" spans="1:19">
      <c r="A549" s="49"/>
      <c r="C549" s="49"/>
      <c r="D549" s="49"/>
      <c r="E549" s="50"/>
      <c r="F549" s="51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</row>
    <row r="550" ht="13.5" customHeight="1" spans="1:19">
      <c r="A550" s="49"/>
      <c r="C550" s="49"/>
      <c r="D550" s="49"/>
      <c r="E550" s="50"/>
      <c r="F550" s="51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</row>
    <row r="551" ht="13.5" customHeight="1" spans="1:19">
      <c r="A551" s="49"/>
      <c r="C551" s="49"/>
      <c r="D551" s="49"/>
      <c r="E551" s="50"/>
      <c r="F551" s="51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</row>
    <row r="552" ht="13.5" customHeight="1" spans="1:19">
      <c r="A552" s="49"/>
      <c r="C552" s="49"/>
      <c r="D552" s="49"/>
      <c r="E552" s="50"/>
      <c r="F552" s="51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</row>
    <row r="553" ht="13.5" customHeight="1" spans="1:19">
      <c r="A553" s="49"/>
      <c r="C553" s="49"/>
      <c r="D553" s="49"/>
      <c r="E553" s="50"/>
      <c r="F553" s="51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</row>
    <row r="554" ht="13.5" customHeight="1" spans="1:19">
      <c r="A554" s="49"/>
      <c r="C554" s="49"/>
      <c r="D554" s="49"/>
      <c r="E554" s="50"/>
      <c r="F554" s="51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</row>
    <row r="555" ht="13.5" customHeight="1" spans="1:19">
      <c r="A555" s="49"/>
      <c r="C555" s="49"/>
      <c r="D555" s="49"/>
      <c r="E555" s="50"/>
      <c r="F555" s="51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</row>
    <row r="556" ht="13.5" customHeight="1" spans="1:19">
      <c r="A556" s="49"/>
      <c r="C556" s="49"/>
      <c r="D556" s="49"/>
      <c r="E556" s="50"/>
      <c r="F556" s="51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</row>
    <row r="557" ht="13.5" customHeight="1" spans="1:19">
      <c r="A557" s="49"/>
      <c r="C557" s="49"/>
      <c r="D557" s="49"/>
      <c r="E557" s="50"/>
      <c r="F557" s="51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</row>
    <row r="558" ht="13.5" customHeight="1" spans="1:19">
      <c r="A558" s="49"/>
      <c r="C558" s="49"/>
      <c r="D558" s="49"/>
      <c r="E558" s="50"/>
      <c r="F558" s="51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</row>
    <row r="559" ht="13.5" customHeight="1" spans="1:19">
      <c r="A559" s="49"/>
      <c r="C559" s="49"/>
      <c r="D559" s="49"/>
      <c r="E559" s="50"/>
      <c r="F559" s="51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</row>
    <row r="560" ht="13.5" customHeight="1" spans="1:19">
      <c r="A560" s="49"/>
      <c r="C560" s="49"/>
      <c r="D560" s="49"/>
      <c r="E560" s="50"/>
      <c r="F560" s="51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</row>
    <row r="561" ht="13.5" customHeight="1" spans="1:19">
      <c r="A561" s="49"/>
      <c r="C561" s="49"/>
      <c r="D561" s="49"/>
      <c r="E561" s="50"/>
      <c r="F561" s="51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</row>
    <row r="562" ht="13.5" customHeight="1" spans="1:19">
      <c r="A562" s="49"/>
      <c r="C562" s="49"/>
      <c r="D562" s="49"/>
      <c r="E562" s="50"/>
      <c r="F562" s="51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</row>
    <row r="563" ht="13.5" customHeight="1" spans="1:19">
      <c r="A563" s="49"/>
      <c r="C563" s="49"/>
      <c r="D563" s="49"/>
      <c r="E563" s="50"/>
      <c r="F563" s="51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</row>
    <row r="564" ht="13.5" customHeight="1" spans="1:19">
      <c r="A564" s="49"/>
      <c r="C564" s="49"/>
      <c r="D564" s="49"/>
      <c r="E564" s="50"/>
      <c r="F564" s="51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</row>
    <row r="565" ht="13.5" customHeight="1" spans="1:19">
      <c r="A565" s="49"/>
      <c r="C565" s="49"/>
      <c r="D565" s="49"/>
      <c r="E565" s="50"/>
      <c r="F565" s="51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</row>
    <row r="566" ht="13.5" customHeight="1" spans="1:19">
      <c r="A566" s="49"/>
      <c r="C566" s="49"/>
      <c r="D566" s="49"/>
      <c r="E566" s="50"/>
      <c r="F566" s="51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</row>
    <row r="567" ht="13.5" customHeight="1" spans="1:19">
      <c r="A567" s="49"/>
      <c r="C567" s="49"/>
      <c r="D567" s="49"/>
      <c r="E567" s="50"/>
      <c r="F567" s="51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</row>
    <row r="568" ht="13.5" customHeight="1" spans="1:19">
      <c r="A568" s="49"/>
      <c r="C568" s="49"/>
      <c r="D568" s="49"/>
      <c r="E568" s="50"/>
      <c r="F568" s="51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</row>
    <row r="569" ht="13.5" customHeight="1" spans="1:19">
      <c r="A569" s="49"/>
      <c r="C569" s="49"/>
      <c r="D569" s="49"/>
      <c r="E569" s="50"/>
      <c r="F569" s="51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</row>
    <row r="570" ht="13.5" customHeight="1" spans="1:19">
      <c r="A570" s="49"/>
      <c r="C570" s="49"/>
      <c r="D570" s="49"/>
      <c r="E570" s="50"/>
      <c r="F570" s="51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</row>
    <row r="571" ht="13.5" customHeight="1" spans="1:19">
      <c r="A571" s="49"/>
      <c r="C571" s="49"/>
      <c r="D571" s="49"/>
      <c r="E571" s="50"/>
      <c r="F571" s="51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</row>
    <row r="572" ht="13.5" customHeight="1" spans="1:19">
      <c r="A572" s="49"/>
      <c r="C572" s="49"/>
      <c r="D572" s="49"/>
      <c r="E572" s="50"/>
      <c r="F572" s="51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</row>
    <row r="573" ht="13.5" customHeight="1" spans="1:19">
      <c r="A573" s="49"/>
      <c r="C573" s="49"/>
      <c r="D573" s="49"/>
      <c r="E573" s="50"/>
      <c r="F573" s="51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</row>
    <row r="574" ht="13.5" customHeight="1" spans="1:19">
      <c r="A574" s="49"/>
      <c r="C574" s="49"/>
      <c r="D574" s="49"/>
      <c r="E574" s="50"/>
      <c r="F574" s="51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</row>
    <row r="575" ht="13.5" customHeight="1" spans="1:19">
      <c r="A575" s="49"/>
      <c r="C575" s="49"/>
      <c r="D575" s="49"/>
      <c r="E575" s="50"/>
      <c r="F575" s="51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</row>
    <row r="576" ht="13.5" customHeight="1" spans="1:19">
      <c r="A576" s="49"/>
      <c r="C576" s="49"/>
      <c r="D576" s="49"/>
      <c r="E576" s="50"/>
      <c r="F576" s="51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</row>
    <row r="577" ht="13.5" customHeight="1" spans="1:19">
      <c r="A577" s="49"/>
      <c r="C577" s="49"/>
      <c r="D577" s="49"/>
      <c r="E577" s="50"/>
      <c r="F577" s="51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</row>
    <row r="578" ht="13.5" customHeight="1" spans="1:19">
      <c r="A578" s="49"/>
      <c r="C578" s="49"/>
      <c r="D578" s="49"/>
      <c r="E578" s="50"/>
      <c r="F578" s="51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</row>
    <row r="579" ht="13.5" customHeight="1" spans="1:19">
      <c r="A579" s="49"/>
      <c r="C579" s="49"/>
      <c r="D579" s="49"/>
      <c r="E579" s="50"/>
      <c r="F579" s="51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</row>
    <row r="580" ht="13.5" customHeight="1" spans="1:19">
      <c r="A580" s="49"/>
      <c r="C580" s="49"/>
      <c r="D580" s="49"/>
      <c r="E580" s="50"/>
      <c r="F580" s="51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</row>
    <row r="581" ht="13.5" customHeight="1" spans="1:19">
      <c r="A581" s="49"/>
      <c r="C581" s="49"/>
      <c r="D581" s="49"/>
      <c r="E581" s="50"/>
      <c r="F581" s="51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</row>
    <row r="582" ht="13.5" customHeight="1" spans="1:19">
      <c r="A582" s="49"/>
      <c r="C582" s="49"/>
      <c r="D582" s="49"/>
      <c r="E582" s="50"/>
      <c r="F582" s="51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</row>
    <row r="583" ht="13.5" customHeight="1" spans="1:19">
      <c r="A583" s="49"/>
      <c r="C583" s="49"/>
      <c r="D583" s="49"/>
      <c r="E583" s="50"/>
      <c r="F583" s="51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</row>
    <row r="584" ht="13.5" customHeight="1" spans="1:19">
      <c r="A584" s="49"/>
      <c r="C584" s="49"/>
      <c r="D584" s="49"/>
      <c r="E584" s="50"/>
      <c r="F584" s="51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</row>
    <row r="585" ht="13.5" customHeight="1" spans="1:19">
      <c r="A585" s="49"/>
      <c r="C585" s="49"/>
      <c r="D585" s="49"/>
      <c r="E585" s="50"/>
      <c r="F585" s="51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</row>
    <row r="586" ht="13.5" customHeight="1" spans="1:19">
      <c r="A586" s="49"/>
      <c r="C586" s="49"/>
      <c r="D586" s="49"/>
      <c r="E586" s="50"/>
      <c r="F586" s="51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</row>
    <row r="587" ht="13.5" customHeight="1" spans="1:19">
      <c r="A587" s="49"/>
      <c r="C587" s="49"/>
      <c r="D587" s="49"/>
      <c r="E587" s="50"/>
      <c r="F587" s="51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</row>
    <row r="588" ht="13.5" customHeight="1" spans="1:19">
      <c r="A588" s="49"/>
      <c r="C588" s="49"/>
      <c r="D588" s="49"/>
      <c r="E588" s="50"/>
      <c r="F588" s="51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</row>
    <row r="589" ht="13.5" customHeight="1" spans="1:19">
      <c r="A589" s="49"/>
      <c r="C589" s="49"/>
      <c r="D589" s="49"/>
      <c r="E589" s="50"/>
      <c r="F589" s="51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</row>
    <row r="590" ht="13.5" customHeight="1" spans="1:19">
      <c r="A590" s="49"/>
      <c r="C590" s="49"/>
      <c r="D590" s="49"/>
      <c r="E590" s="50"/>
      <c r="F590" s="51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</row>
    <row r="591" ht="13.5" customHeight="1" spans="1:19">
      <c r="A591" s="49"/>
      <c r="C591" s="49"/>
      <c r="D591" s="49"/>
      <c r="E591" s="50"/>
      <c r="F591" s="51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</row>
    <row r="592" ht="13.5" customHeight="1" spans="1:19">
      <c r="A592" s="49"/>
      <c r="C592" s="49"/>
      <c r="D592" s="49"/>
      <c r="E592" s="50"/>
      <c r="F592" s="51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</row>
    <row r="593" ht="13.5" customHeight="1" spans="1:19">
      <c r="A593" s="49"/>
      <c r="C593" s="49"/>
      <c r="D593" s="49"/>
      <c r="E593" s="50"/>
      <c r="F593" s="51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</row>
    <row r="594" ht="13.5" customHeight="1" spans="1:19">
      <c r="A594" s="49"/>
      <c r="C594" s="49"/>
      <c r="D594" s="49"/>
      <c r="E594" s="50"/>
      <c r="F594" s="51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</row>
    <row r="595" ht="13.5" customHeight="1" spans="1:19">
      <c r="A595" s="49"/>
      <c r="C595" s="49"/>
      <c r="D595" s="49"/>
      <c r="E595" s="50"/>
      <c r="F595" s="51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</row>
    <row r="596" ht="13.5" customHeight="1" spans="1:19">
      <c r="A596" s="49"/>
      <c r="C596" s="49"/>
      <c r="D596" s="49"/>
      <c r="E596" s="50"/>
      <c r="F596" s="51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</row>
    <row r="597" ht="13.5" customHeight="1" spans="1:19">
      <c r="A597" s="49"/>
      <c r="C597" s="49"/>
      <c r="D597" s="49"/>
      <c r="E597" s="50"/>
      <c r="F597" s="51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</row>
    <row r="598" ht="13.5" customHeight="1" spans="1:19">
      <c r="A598" s="49"/>
      <c r="C598" s="49"/>
      <c r="D598" s="49"/>
      <c r="E598" s="50"/>
      <c r="F598" s="51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</row>
    <row r="599" ht="13.5" customHeight="1" spans="1:19">
      <c r="A599" s="49"/>
      <c r="C599" s="49"/>
      <c r="D599" s="49"/>
      <c r="E599" s="50"/>
      <c r="F599" s="51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</row>
    <row r="600" ht="13.5" customHeight="1" spans="1:19">
      <c r="A600" s="49"/>
      <c r="C600" s="49"/>
      <c r="D600" s="49"/>
      <c r="E600" s="50"/>
      <c r="F600" s="51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</row>
    <row r="601" ht="13.5" customHeight="1" spans="1:19">
      <c r="A601" s="49"/>
      <c r="C601" s="49"/>
      <c r="D601" s="49"/>
      <c r="E601" s="50"/>
      <c r="F601" s="51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</row>
    <row r="602" ht="13.5" customHeight="1" spans="1:19">
      <c r="A602" s="49"/>
      <c r="C602" s="49"/>
      <c r="D602" s="49"/>
      <c r="E602" s="50"/>
      <c r="F602" s="51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</row>
    <row r="603" ht="13.5" customHeight="1" spans="1:19">
      <c r="A603" s="49"/>
      <c r="C603" s="49"/>
      <c r="D603" s="49"/>
      <c r="E603" s="50"/>
      <c r="F603" s="51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</row>
    <row r="604" ht="13.5" customHeight="1" spans="1:19">
      <c r="A604" s="49"/>
      <c r="C604" s="49"/>
      <c r="D604" s="49"/>
      <c r="E604" s="50"/>
      <c r="F604" s="51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</row>
    <row r="605" ht="13.5" customHeight="1" spans="1:19">
      <c r="A605" s="49"/>
      <c r="C605" s="49"/>
      <c r="D605" s="49"/>
      <c r="E605" s="50"/>
      <c r="F605" s="51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</row>
    <row r="606" ht="13.5" customHeight="1" spans="1:19">
      <c r="A606" s="49"/>
      <c r="C606" s="49"/>
      <c r="D606" s="49"/>
      <c r="E606" s="50"/>
      <c r="F606" s="51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</row>
    <row r="607" ht="13.5" customHeight="1" spans="1:19">
      <c r="A607" s="49"/>
      <c r="C607" s="49"/>
      <c r="D607" s="49"/>
      <c r="E607" s="50"/>
      <c r="F607" s="51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</row>
    <row r="608" ht="13.5" customHeight="1" spans="1:19">
      <c r="A608" s="49"/>
      <c r="C608" s="49"/>
      <c r="D608" s="49"/>
      <c r="E608" s="50"/>
      <c r="F608" s="51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</row>
    <row r="609" ht="13.5" customHeight="1" spans="1:19">
      <c r="A609" s="49"/>
      <c r="C609" s="49"/>
      <c r="D609" s="49"/>
      <c r="E609" s="50"/>
      <c r="F609" s="51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</row>
    <row r="610" ht="13.5" customHeight="1" spans="1:19">
      <c r="A610" s="49"/>
      <c r="C610" s="49"/>
      <c r="D610" s="49"/>
      <c r="E610" s="50"/>
      <c r="F610" s="51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</row>
    <row r="611" ht="13.5" customHeight="1" spans="1:19">
      <c r="A611" s="49"/>
      <c r="C611" s="49"/>
      <c r="D611" s="49"/>
      <c r="E611" s="50"/>
      <c r="F611" s="51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</row>
    <row r="612" ht="13.5" customHeight="1" spans="1:19">
      <c r="A612" s="49"/>
      <c r="C612" s="49"/>
      <c r="D612" s="49"/>
      <c r="E612" s="50"/>
      <c r="F612" s="51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</row>
    <row r="613" ht="13.5" customHeight="1" spans="1:19">
      <c r="A613" s="49"/>
      <c r="C613" s="49"/>
      <c r="D613" s="49"/>
      <c r="E613" s="50"/>
      <c r="F613" s="51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</row>
    <row r="614" ht="13.5" customHeight="1" spans="1:19">
      <c r="A614" s="49"/>
      <c r="C614" s="49"/>
      <c r="D614" s="49"/>
      <c r="E614" s="50"/>
      <c r="F614" s="51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</row>
    <row r="615" ht="13.5" customHeight="1" spans="1:19">
      <c r="A615" s="49"/>
      <c r="C615" s="49"/>
      <c r="D615" s="49"/>
      <c r="E615" s="50"/>
      <c r="F615" s="51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</row>
    <row r="616" ht="13.5" customHeight="1" spans="1:19">
      <c r="A616" s="49"/>
      <c r="C616" s="49"/>
      <c r="D616" s="49"/>
      <c r="E616" s="50"/>
      <c r="F616" s="51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</row>
    <row r="617" ht="13.5" customHeight="1" spans="1:19">
      <c r="A617" s="49"/>
      <c r="C617" s="49"/>
      <c r="D617" s="49"/>
      <c r="E617" s="50"/>
      <c r="F617" s="51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</row>
    <row r="618" ht="13.5" customHeight="1" spans="1:19">
      <c r="A618" s="49"/>
      <c r="C618" s="49"/>
      <c r="D618" s="49"/>
      <c r="E618" s="50"/>
      <c r="F618" s="51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</row>
    <row r="619" ht="13.5" customHeight="1" spans="1:19">
      <c r="A619" s="49"/>
      <c r="C619" s="49"/>
      <c r="D619" s="49"/>
      <c r="E619" s="50"/>
      <c r="F619" s="51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</row>
    <row r="620" ht="13.5" customHeight="1" spans="1:19">
      <c r="A620" s="49"/>
      <c r="C620" s="49"/>
      <c r="D620" s="49"/>
      <c r="E620" s="50"/>
      <c r="F620" s="51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</row>
    <row r="621" ht="13.5" customHeight="1" spans="1:19">
      <c r="A621" s="49"/>
      <c r="C621" s="49"/>
      <c r="D621" s="49"/>
      <c r="E621" s="50"/>
      <c r="F621" s="51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</row>
    <row r="622" ht="13.5" customHeight="1" spans="1:19">
      <c r="A622" s="49"/>
      <c r="C622" s="49"/>
      <c r="D622" s="49"/>
      <c r="E622" s="50"/>
      <c r="F622" s="51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</row>
    <row r="623" ht="13.5" customHeight="1" spans="1:19">
      <c r="A623" s="49"/>
      <c r="C623" s="49"/>
      <c r="D623" s="49"/>
      <c r="E623" s="50"/>
      <c r="F623" s="51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</row>
    <row r="624" ht="13.5" customHeight="1" spans="1:19">
      <c r="A624" s="49"/>
      <c r="C624" s="49"/>
      <c r="D624" s="49"/>
      <c r="E624" s="50"/>
      <c r="F624" s="51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</row>
    <row r="625" ht="13.5" customHeight="1" spans="1:19">
      <c r="A625" s="49"/>
      <c r="C625" s="49"/>
      <c r="D625" s="49"/>
      <c r="E625" s="50"/>
      <c r="F625" s="51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</row>
    <row r="626" ht="13.5" customHeight="1" spans="1:19">
      <c r="A626" s="49"/>
      <c r="C626" s="49"/>
      <c r="D626" s="49"/>
      <c r="E626" s="50"/>
      <c r="F626" s="51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</row>
    <row r="627" ht="13.5" customHeight="1" spans="1:19">
      <c r="A627" s="49"/>
      <c r="C627" s="49"/>
      <c r="D627" s="49"/>
      <c r="E627" s="50"/>
      <c r="F627" s="51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</row>
    <row r="628" ht="13.5" customHeight="1" spans="1:19">
      <c r="A628" s="49"/>
      <c r="C628" s="49"/>
      <c r="D628" s="49"/>
      <c r="E628" s="50"/>
      <c r="F628" s="51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</row>
    <row r="629" ht="13.5" customHeight="1" spans="1:19">
      <c r="A629" s="49"/>
      <c r="C629" s="49"/>
      <c r="D629" s="49"/>
      <c r="E629" s="50"/>
      <c r="F629" s="51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</row>
    <row r="630" ht="13.5" customHeight="1" spans="1:19">
      <c r="A630" s="49"/>
      <c r="C630" s="49"/>
      <c r="D630" s="49"/>
      <c r="E630" s="50"/>
      <c r="F630" s="51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</row>
    <row r="631" ht="13.5" customHeight="1" spans="1:19">
      <c r="A631" s="49"/>
      <c r="C631" s="49"/>
      <c r="D631" s="49"/>
      <c r="E631" s="50"/>
      <c r="F631" s="51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</row>
    <row r="632" ht="13.5" customHeight="1" spans="1:19">
      <c r="A632" s="49"/>
      <c r="C632" s="49"/>
      <c r="D632" s="49"/>
      <c r="E632" s="50"/>
      <c r="F632" s="51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</row>
    <row r="633" ht="13.5" customHeight="1" spans="1:19">
      <c r="A633" s="49"/>
      <c r="C633" s="49"/>
      <c r="D633" s="49"/>
      <c r="E633" s="50"/>
      <c r="F633" s="51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</row>
    <row r="634" ht="13.5" customHeight="1" spans="1:19">
      <c r="A634" s="49"/>
      <c r="C634" s="49"/>
      <c r="D634" s="49"/>
      <c r="E634" s="50"/>
      <c r="F634" s="51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</row>
    <row r="635" ht="13.5" customHeight="1" spans="1:19">
      <c r="A635" s="49"/>
      <c r="C635" s="49"/>
      <c r="D635" s="49"/>
      <c r="E635" s="50"/>
      <c r="F635" s="51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</row>
    <row r="636" ht="13.5" customHeight="1" spans="1:19">
      <c r="A636" s="49"/>
      <c r="C636" s="49"/>
      <c r="D636" s="49"/>
      <c r="E636" s="50"/>
      <c r="F636" s="51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</row>
    <row r="637" ht="13.5" customHeight="1" spans="1:19">
      <c r="A637" s="49"/>
      <c r="C637" s="49"/>
      <c r="D637" s="49"/>
      <c r="E637" s="50"/>
      <c r="F637" s="51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</row>
    <row r="638" ht="13.5" customHeight="1" spans="1:19">
      <c r="A638" s="49"/>
      <c r="C638" s="49"/>
      <c r="D638" s="49"/>
      <c r="E638" s="50"/>
      <c r="F638" s="51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</row>
    <row r="639" ht="13.5" customHeight="1" spans="1:19">
      <c r="A639" s="49"/>
      <c r="C639" s="49"/>
      <c r="D639" s="49"/>
      <c r="E639" s="50"/>
      <c r="F639" s="51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</row>
    <row r="640" ht="13.5" customHeight="1" spans="1:19">
      <c r="A640" s="49"/>
      <c r="C640" s="49"/>
      <c r="D640" s="49"/>
      <c r="E640" s="50"/>
      <c r="F640" s="51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</row>
    <row r="641" ht="13.5" customHeight="1" spans="1:19">
      <c r="A641" s="49"/>
      <c r="C641" s="49"/>
      <c r="D641" s="49"/>
      <c r="E641" s="50"/>
      <c r="F641" s="51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</row>
    <row r="642" ht="13.5" customHeight="1" spans="1:19">
      <c r="A642" s="49"/>
      <c r="C642" s="49"/>
      <c r="D642" s="49"/>
      <c r="E642" s="50"/>
      <c r="F642" s="51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</row>
    <row r="643" ht="13.5" customHeight="1" spans="1:19">
      <c r="A643" s="49"/>
      <c r="C643" s="49"/>
      <c r="D643" s="49"/>
      <c r="E643" s="50"/>
      <c r="F643" s="51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</row>
    <row r="644" ht="13.5" customHeight="1" spans="1:19">
      <c r="A644" s="49"/>
      <c r="C644" s="49"/>
      <c r="D644" s="49"/>
      <c r="E644" s="50"/>
      <c r="F644" s="51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</row>
    <row r="645" ht="13.5" customHeight="1" spans="1:19">
      <c r="A645" s="49"/>
      <c r="C645" s="49"/>
      <c r="D645" s="49"/>
      <c r="E645" s="50"/>
      <c r="F645" s="51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</row>
    <row r="646" ht="13.5" customHeight="1" spans="1:19">
      <c r="A646" s="49"/>
      <c r="C646" s="49"/>
      <c r="D646" s="49"/>
      <c r="E646" s="50"/>
      <c r="F646" s="51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</row>
    <row r="647" ht="13.5" customHeight="1" spans="1:19">
      <c r="A647" s="49"/>
      <c r="C647" s="49"/>
      <c r="D647" s="49"/>
      <c r="E647" s="50"/>
      <c r="F647" s="51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</row>
    <row r="648" ht="13.5" customHeight="1" spans="1:19">
      <c r="A648" s="49"/>
      <c r="C648" s="49"/>
      <c r="D648" s="49"/>
      <c r="E648" s="50"/>
      <c r="F648" s="51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</row>
    <row r="649" ht="13.5" customHeight="1" spans="1:19">
      <c r="A649" s="49"/>
      <c r="C649" s="49"/>
      <c r="D649" s="49"/>
      <c r="E649" s="50"/>
      <c r="F649" s="51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</row>
    <row r="650" ht="13.5" customHeight="1" spans="1:19">
      <c r="A650" s="49"/>
      <c r="C650" s="49"/>
      <c r="D650" s="49"/>
      <c r="E650" s="50"/>
      <c r="F650" s="51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</row>
    <row r="651" ht="13.5" customHeight="1" spans="1:19">
      <c r="A651" s="49"/>
      <c r="C651" s="49"/>
      <c r="D651" s="49"/>
      <c r="E651" s="50"/>
      <c r="F651" s="51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</row>
    <row r="652" ht="13.5" customHeight="1" spans="1:19">
      <c r="A652" s="49"/>
      <c r="C652" s="49"/>
      <c r="D652" s="49"/>
      <c r="E652" s="50"/>
      <c r="F652" s="51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</row>
    <row r="653" ht="13.5" customHeight="1" spans="1:19">
      <c r="A653" s="49"/>
      <c r="C653" s="49"/>
      <c r="D653" s="49"/>
      <c r="E653" s="50"/>
      <c r="F653" s="51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</row>
    <row r="654" ht="13.5" customHeight="1" spans="1:19">
      <c r="A654" s="49"/>
      <c r="C654" s="49"/>
      <c r="D654" s="49"/>
      <c r="E654" s="50"/>
      <c r="F654" s="51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</row>
    <row r="655" ht="13.5" customHeight="1" spans="1:19">
      <c r="A655" s="49"/>
      <c r="C655" s="49"/>
      <c r="D655" s="49"/>
      <c r="E655" s="50"/>
      <c r="F655" s="51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</row>
    <row r="656" ht="13.5" customHeight="1" spans="1:19">
      <c r="A656" s="49"/>
      <c r="C656" s="49"/>
      <c r="D656" s="49"/>
      <c r="E656" s="50"/>
      <c r="F656" s="51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</row>
    <row r="657" ht="13.5" customHeight="1" spans="1:19">
      <c r="A657" s="49"/>
      <c r="C657" s="49"/>
      <c r="D657" s="49"/>
      <c r="E657" s="50"/>
      <c r="F657" s="51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</row>
    <row r="658" ht="13.5" customHeight="1" spans="1:19">
      <c r="A658" s="49"/>
      <c r="C658" s="49"/>
      <c r="D658" s="49"/>
      <c r="E658" s="50"/>
      <c r="F658" s="51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</row>
    <row r="659" ht="13.5" customHeight="1" spans="1:19">
      <c r="A659" s="49"/>
      <c r="C659" s="49"/>
      <c r="D659" s="49"/>
      <c r="E659" s="50"/>
      <c r="F659" s="51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</row>
    <row r="660" ht="13.5" customHeight="1" spans="1:19">
      <c r="A660" s="49"/>
      <c r="C660" s="49"/>
      <c r="D660" s="49"/>
      <c r="E660" s="50"/>
      <c r="F660" s="51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</row>
    <row r="661" ht="13.5" customHeight="1" spans="1:19">
      <c r="A661" s="49"/>
      <c r="C661" s="49"/>
      <c r="D661" s="49"/>
      <c r="E661" s="50"/>
      <c r="F661" s="51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</row>
    <row r="662" ht="13.5" customHeight="1" spans="1:19">
      <c r="A662" s="49"/>
      <c r="C662" s="49"/>
      <c r="D662" s="49"/>
      <c r="E662" s="50"/>
      <c r="F662" s="51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</row>
    <row r="663" ht="13.5" customHeight="1" spans="1:19">
      <c r="A663" s="49"/>
      <c r="C663" s="49"/>
      <c r="D663" s="49"/>
      <c r="E663" s="50"/>
      <c r="F663" s="51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</row>
    <row r="664" ht="13.5" customHeight="1" spans="1:19">
      <c r="A664" s="49"/>
      <c r="C664" s="49"/>
      <c r="D664" s="49"/>
      <c r="E664" s="50"/>
      <c r="F664" s="51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</row>
    <row r="665" ht="13.5" customHeight="1" spans="1:19">
      <c r="A665" s="49"/>
      <c r="C665" s="49"/>
      <c r="D665" s="49"/>
      <c r="E665" s="50"/>
      <c r="F665" s="51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</row>
    <row r="666" ht="13.5" customHeight="1" spans="1:19">
      <c r="A666" s="49"/>
      <c r="C666" s="49"/>
      <c r="D666" s="49"/>
      <c r="E666" s="50"/>
      <c r="F666" s="51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</row>
    <row r="667" ht="13.5" customHeight="1" spans="1:19">
      <c r="A667" s="49"/>
      <c r="C667" s="49"/>
      <c r="D667" s="49"/>
      <c r="E667" s="50"/>
      <c r="F667" s="51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</row>
    <row r="668" ht="13.5" customHeight="1" spans="1:19">
      <c r="A668" s="49"/>
      <c r="C668" s="49"/>
      <c r="D668" s="49"/>
      <c r="E668" s="50"/>
      <c r="F668" s="51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</row>
    <row r="669" ht="13.5" customHeight="1" spans="1:19">
      <c r="A669" s="49"/>
      <c r="C669" s="49"/>
      <c r="D669" s="49"/>
      <c r="E669" s="50"/>
      <c r="F669" s="51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</row>
    <row r="670" ht="13.5" customHeight="1" spans="1:19">
      <c r="A670" s="49"/>
      <c r="C670" s="49"/>
      <c r="D670" s="49"/>
      <c r="E670" s="50"/>
      <c r="F670" s="51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</row>
    <row r="671" ht="13.5" customHeight="1" spans="1:19">
      <c r="A671" s="49"/>
      <c r="C671" s="49"/>
      <c r="D671" s="49"/>
      <c r="E671" s="50"/>
      <c r="F671" s="51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</row>
    <row r="672" ht="13.5" customHeight="1" spans="1:19">
      <c r="A672" s="49"/>
      <c r="C672" s="49"/>
      <c r="D672" s="49"/>
      <c r="E672" s="50"/>
      <c r="F672" s="51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</row>
    <row r="673" ht="13.5" customHeight="1" spans="1:19">
      <c r="A673" s="49"/>
      <c r="C673" s="49"/>
      <c r="D673" s="49"/>
      <c r="E673" s="50"/>
      <c r="F673" s="51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</row>
    <row r="674" ht="13.5" customHeight="1" spans="1:19">
      <c r="A674" s="49"/>
      <c r="C674" s="49"/>
      <c r="D674" s="49"/>
      <c r="E674" s="50"/>
      <c r="F674" s="51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</row>
    <row r="675" ht="13.5" customHeight="1" spans="1:19">
      <c r="A675" s="49"/>
      <c r="C675" s="49"/>
      <c r="D675" s="49"/>
      <c r="E675" s="50"/>
      <c r="F675" s="51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</row>
    <row r="676" ht="13.5" customHeight="1" spans="1:19">
      <c r="A676" s="49"/>
      <c r="C676" s="49"/>
      <c r="D676" s="49"/>
      <c r="E676" s="50"/>
      <c r="F676" s="51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</row>
    <row r="677" ht="13.5" customHeight="1" spans="1:19">
      <c r="A677" s="49"/>
      <c r="C677" s="49"/>
      <c r="D677" s="49"/>
      <c r="E677" s="50"/>
      <c r="F677" s="51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</row>
    <row r="678" ht="13.5" customHeight="1" spans="1:19">
      <c r="A678" s="49"/>
      <c r="C678" s="49"/>
      <c r="D678" s="49"/>
      <c r="E678" s="50"/>
      <c r="F678" s="51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</row>
    <row r="679" ht="13.5" customHeight="1" spans="1:19">
      <c r="A679" s="49"/>
      <c r="C679" s="49"/>
      <c r="D679" s="49"/>
      <c r="E679" s="50"/>
      <c r="F679" s="51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</row>
    <row r="680" ht="13.5" customHeight="1" spans="1:19">
      <c r="A680" s="49"/>
      <c r="C680" s="49"/>
      <c r="D680" s="49"/>
      <c r="E680" s="50"/>
      <c r="F680" s="51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</row>
    <row r="681" ht="13.5" customHeight="1" spans="1:19">
      <c r="A681" s="49"/>
      <c r="C681" s="49"/>
      <c r="D681" s="49"/>
      <c r="E681" s="50"/>
      <c r="F681" s="51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</row>
    <row r="682" ht="13.5" customHeight="1" spans="1:19">
      <c r="A682" s="49"/>
      <c r="C682" s="49"/>
      <c r="D682" s="49"/>
      <c r="E682" s="50"/>
      <c r="F682" s="51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</row>
    <row r="683" ht="13.5" customHeight="1" spans="1:19">
      <c r="A683" s="49"/>
      <c r="C683" s="49"/>
      <c r="D683" s="49"/>
      <c r="E683" s="50"/>
      <c r="F683" s="51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</row>
    <row r="684" ht="13.5" customHeight="1" spans="1:19">
      <c r="A684" s="49"/>
      <c r="C684" s="49"/>
      <c r="D684" s="49"/>
      <c r="E684" s="50"/>
      <c r="F684" s="51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</row>
    <row r="685" ht="13.5" customHeight="1" spans="1:19">
      <c r="A685" s="49"/>
      <c r="C685" s="49"/>
      <c r="D685" s="49"/>
      <c r="E685" s="50"/>
      <c r="F685" s="51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</row>
    <row r="686" ht="13.5" customHeight="1" spans="1:19">
      <c r="A686" s="49"/>
      <c r="C686" s="49"/>
      <c r="D686" s="49"/>
      <c r="E686" s="50"/>
      <c r="F686" s="51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</row>
    <row r="687" ht="13.5" customHeight="1" spans="1:19">
      <c r="A687" s="49"/>
      <c r="C687" s="49"/>
      <c r="D687" s="49"/>
      <c r="E687" s="50"/>
      <c r="F687" s="51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</row>
    <row r="688" ht="13.5" customHeight="1" spans="1:19">
      <c r="A688" s="49"/>
      <c r="C688" s="49"/>
      <c r="D688" s="49"/>
      <c r="E688" s="50"/>
      <c r="F688" s="51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</row>
    <row r="689" ht="13.5" customHeight="1" spans="1:19">
      <c r="A689" s="49"/>
      <c r="C689" s="49"/>
      <c r="D689" s="49"/>
      <c r="E689" s="50"/>
      <c r="F689" s="51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</row>
    <row r="690" ht="13.5" customHeight="1" spans="1:19">
      <c r="A690" s="49"/>
      <c r="C690" s="49"/>
      <c r="D690" s="49"/>
      <c r="E690" s="50"/>
      <c r="F690" s="51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</row>
    <row r="691" ht="13.5" customHeight="1" spans="1:19">
      <c r="A691" s="49"/>
      <c r="C691" s="49"/>
      <c r="D691" s="49"/>
      <c r="E691" s="50"/>
      <c r="F691" s="51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</row>
    <row r="692" ht="13.5" customHeight="1" spans="1:19">
      <c r="A692" s="49"/>
      <c r="C692" s="49"/>
      <c r="D692" s="49"/>
      <c r="E692" s="50"/>
      <c r="F692" s="51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</row>
    <row r="693" ht="13.5" customHeight="1" spans="1:19">
      <c r="A693" s="49"/>
      <c r="C693" s="49"/>
      <c r="D693" s="49"/>
      <c r="E693" s="50"/>
      <c r="F693" s="51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</row>
    <row r="694" ht="13.5" customHeight="1" spans="1:19">
      <c r="A694" s="49"/>
      <c r="C694" s="49"/>
      <c r="D694" s="49"/>
      <c r="E694" s="50"/>
      <c r="F694" s="51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</row>
    <row r="695" ht="13.5" customHeight="1" spans="1:19">
      <c r="A695" s="49"/>
      <c r="C695" s="49"/>
      <c r="D695" s="49"/>
      <c r="E695" s="50"/>
      <c r="F695" s="51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</row>
    <row r="696" ht="13.5" customHeight="1" spans="1:19">
      <c r="A696" s="49"/>
      <c r="C696" s="49"/>
      <c r="D696" s="49"/>
      <c r="E696" s="50"/>
      <c r="F696" s="51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</row>
    <row r="697" ht="13.5" customHeight="1" spans="1:19">
      <c r="A697" s="49"/>
      <c r="C697" s="49"/>
      <c r="D697" s="49"/>
      <c r="E697" s="50"/>
      <c r="F697" s="51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</row>
    <row r="698" ht="13.5" customHeight="1" spans="1:19">
      <c r="A698" s="49"/>
      <c r="C698" s="49"/>
      <c r="D698" s="49"/>
      <c r="E698" s="50"/>
      <c r="F698" s="51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</row>
    <row r="699" ht="13.5" customHeight="1" spans="1:19">
      <c r="A699" s="49"/>
      <c r="C699" s="49"/>
      <c r="D699" s="49"/>
      <c r="E699" s="50"/>
      <c r="F699" s="51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</row>
    <row r="700" ht="13.5" customHeight="1" spans="1:19">
      <c r="A700" s="49"/>
      <c r="C700" s="49"/>
      <c r="D700" s="49"/>
      <c r="E700" s="50"/>
      <c r="F700" s="51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</row>
    <row r="701" ht="13.5" customHeight="1" spans="1:19">
      <c r="A701" s="49"/>
      <c r="C701" s="49"/>
      <c r="D701" s="49"/>
      <c r="E701" s="50"/>
      <c r="F701" s="51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</row>
    <row r="702" ht="13.5" customHeight="1" spans="1:19">
      <c r="A702" s="49"/>
      <c r="C702" s="49"/>
      <c r="D702" s="49"/>
      <c r="E702" s="50"/>
      <c r="F702" s="51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</row>
    <row r="703" ht="13.5" customHeight="1" spans="1:19">
      <c r="A703" s="49"/>
      <c r="C703" s="49"/>
      <c r="D703" s="49"/>
      <c r="E703" s="50"/>
      <c r="F703" s="51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</row>
    <row r="704" ht="13.5" customHeight="1" spans="1:19">
      <c r="A704" s="49"/>
      <c r="C704" s="49"/>
      <c r="D704" s="49"/>
      <c r="E704" s="50"/>
      <c r="F704" s="51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</row>
    <row r="705" ht="13.5" customHeight="1" spans="1:19">
      <c r="A705" s="49"/>
      <c r="C705" s="49"/>
      <c r="D705" s="49"/>
      <c r="E705" s="50"/>
      <c r="F705" s="51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</row>
    <row r="706" ht="13.5" customHeight="1" spans="1:19">
      <c r="A706" s="49"/>
      <c r="C706" s="49"/>
      <c r="D706" s="49"/>
      <c r="E706" s="50"/>
      <c r="F706" s="51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</row>
    <row r="707" ht="13.5" customHeight="1" spans="1:19">
      <c r="A707" s="49"/>
      <c r="C707" s="49"/>
      <c r="D707" s="49"/>
      <c r="E707" s="50"/>
      <c r="F707" s="51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</row>
    <row r="708" ht="13.5" customHeight="1" spans="1:19">
      <c r="A708" s="49"/>
      <c r="C708" s="49"/>
      <c r="D708" s="49"/>
      <c r="E708" s="50"/>
      <c r="F708" s="51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</row>
    <row r="709" ht="13.5" customHeight="1" spans="1:19">
      <c r="A709" s="49"/>
      <c r="C709" s="49"/>
      <c r="D709" s="49"/>
      <c r="E709" s="50"/>
      <c r="F709" s="51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</row>
    <row r="710" ht="13.5" customHeight="1" spans="1:19">
      <c r="A710" s="49"/>
      <c r="C710" s="49"/>
      <c r="D710" s="49"/>
      <c r="E710" s="50"/>
      <c r="F710" s="51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</row>
    <row r="711" ht="13.5" customHeight="1" spans="1:19">
      <c r="A711" s="49"/>
      <c r="C711" s="49"/>
      <c r="D711" s="49"/>
      <c r="E711" s="50"/>
      <c r="F711" s="51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</row>
    <row r="712" ht="13.5" customHeight="1" spans="1:19">
      <c r="A712" s="49"/>
      <c r="C712" s="49"/>
      <c r="D712" s="49"/>
      <c r="E712" s="50"/>
      <c r="F712" s="51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</row>
    <row r="713" ht="13.5" customHeight="1" spans="1:19">
      <c r="A713" s="49"/>
      <c r="C713" s="49"/>
      <c r="D713" s="49"/>
      <c r="E713" s="50"/>
      <c r="F713" s="51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</row>
    <row r="714" ht="13.5" customHeight="1" spans="1:19">
      <c r="A714" s="49"/>
      <c r="C714" s="49"/>
      <c r="D714" s="49"/>
      <c r="E714" s="50"/>
      <c r="F714" s="51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</row>
    <row r="715" ht="13.5" customHeight="1" spans="1:19">
      <c r="A715" s="49"/>
      <c r="C715" s="49"/>
      <c r="D715" s="49"/>
      <c r="E715" s="50"/>
      <c r="F715" s="51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</row>
    <row r="716" ht="13.5" customHeight="1" spans="1:19">
      <c r="A716" s="49"/>
      <c r="C716" s="49"/>
      <c r="D716" s="49"/>
      <c r="E716" s="50"/>
      <c r="F716" s="51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</row>
    <row r="717" ht="13.5" customHeight="1" spans="1:19">
      <c r="A717" s="49"/>
      <c r="C717" s="49"/>
      <c r="D717" s="49"/>
      <c r="E717" s="50"/>
      <c r="F717" s="51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</row>
    <row r="718" ht="13.5" customHeight="1" spans="1:19">
      <c r="A718" s="49"/>
      <c r="C718" s="49"/>
      <c r="D718" s="49"/>
      <c r="E718" s="50"/>
      <c r="F718" s="51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</row>
    <row r="719" ht="13.5" customHeight="1" spans="1:19">
      <c r="A719" s="49"/>
      <c r="C719" s="49"/>
      <c r="D719" s="49"/>
      <c r="E719" s="50"/>
      <c r="F719" s="51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</row>
    <row r="720" ht="13.5" customHeight="1" spans="1:19">
      <c r="A720" s="49"/>
      <c r="C720" s="49"/>
      <c r="D720" s="49"/>
      <c r="E720" s="50"/>
      <c r="F720" s="51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</row>
    <row r="721" ht="13.5" customHeight="1" spans="1:19">
      <c r="A721" s="49"/>
      <c r="C721" s="49"/>
      <c r="D721" s="49"/>
      <c r="E721" s="50"/>
      <c r="F721" s="51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</row>
    <row r="722" ht="13.5" customHeight="1" spans="1:19">
      <c r="A722" s="49"/>
      <c r="C722" s="49"/>
      <c r="D722" s="49"/>
      <c r="E722" s="50"/>
      <c r="F722" s="51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</row>
    <row r="723" ht="13.5" customHeight="1" spans="1:19">
      <c r="A723" s="49"/>
      <c r="C723" s="49"/>
      <c r="D723" s="49"/>
      <c r="E723" s="50"/>
      <c r="F723" s="51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</row>
    <row r="724" ht="13.5" customHeight="1" spans="1:19">
      <c r="A724" s="49"/>
      <c r="C724" s="49"/>
      <c r="D724" s="49"/>
      <c r="E724" s="50"/>
      <c r="F724" s="51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</row>
    <row r="725" ht="13.5" customHeight="1" spans="1:19">
      <c r="A725" s="49"/>
      <c r="C725" s="49"/>
      <c r="D725" s="49"/>
      <c r="E725" s="50"/>
      <c r="F725" s="51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</row>
    <row r="726" ht="13.5" customHeight="1" spans="1:19">
      <c r="A726" s="49"/>
      <c r="C726" s="49"/>
      <c r="D726" s="49"/>
      <c r="E726" s="50"/>
      <c r="F726" s="51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</row>
    <row r="727" ht="13.5" customHeight="1" spans="1:19">
      <c r="A727" s="49"/>
      <c r="C727" s="49"/>
      <c r="D727" s="49"/>
      <c r="E727" s="50"/>
      <c r="F727" s="51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</row>
    <row r="728" ht="13.5" customHeight="1" spans="1:19">
      <c r="A728" s="49"/>
      <c r="C728" s="49"/>
      <c r="D728" s="49"/>
      <c r="E728" s="50"/>
      <c r="F728" s="51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</row>
    <row r="729" ht="13.5" customHeight="1" spans="1:19">
      <c r="A729" s="49"/>
      <c r="C729" s="49"/>
      <c r="D729" s="49"/>
      <c r="E729" s="50"/>
      <c r="F729" s="51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</row>
    <row r="730" ht="13.5" customHeight="1" spans="1:19">
      <c r="A730" s="49"/>
      <c r="C730" s="49"/>
      <c r="D730" s="49"/>
      <c r="E730" s="50"/>
      <c r="F730" s="51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</row>
    <row r="731" ht="13.5" customHeight="1" spans="1:19">
      <c r="A731" s="49"/>
      <c r="C731" s="49"/>
      <c r="D731" s="49"/>
      <c r="E731" s="50"/>
      <c r="F731" s="51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</row>
    <row r="732" ht="13.5" customHeight="1" spans="1:19">
      <c r="A732" s="49"/>
      <c r="C732" s="49"/>
      <c r="D732" s="49"/>
      <c r="E732" s="50"/>
      <c r="F732" s="51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</row>
    <row r="733" ht="13.5" customHeight="1" spans="1:19">
      <c r="A733" s="49"/>
      <c r="C733" s="49"/>
      <c r="D733" s="49"/>
      <c r="E733" s="50"/>
      <c r="F733" s="51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</row>
    <row r="734" ht="13.5" customHeight="1" spans="1:19">
      <c r="A734" s="49"/>
      <c r="C734" s="49"/>
      <c r="D734" s="49"/>
      <c r="E734" s="50"/>
      <c r="F734" s="51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</row>
    <row r="735" ht="13.5" customHeight="1" spans="1:19">
      <c r="A735" s="49"/>
      <c r="C735" s="49"/>
      <c r="D735" s="49"/>
      <c r="E735" s="50"/>
      <c r="F735" s="51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</row>
    <row r="736" ht="13.5" customHeight="1" spans="1:19">
      <c r="A736" s="49"/>
      <c r="C736" s="49"/>
      <c r="D736" s="49"/>
      <c r="E736" s="50"/>
      <c r="F736" s="51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</row>
    <row r="737" ht="13.5" customHeight="1" spans="1:19">
      <c r="A737" s="49"/>
      <c r="C737" s="49"/>
      <c r="D737" s="49"/>
      <c r="E737" s="50"/>
      <c r="F737" s="51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</row>
    <row r="738" ht="13.5" customHeight="1" spans="1:19">
      <c r="A738" s="49"/>
      <c r="C738" s="49"/>
      <c r="D738" s="49"/>
      <c r="E738" s="50"/>
      <c r="F738" s="51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</row>
    <row r="739" ht="13.5" customHeight="1" spans="1:19">
      <c r="A739" s="49"/>
      <c r="C739" s="49"/>
      <c r="D739" s="49"/>
      <c r="E739" s="50"/>
      <c r="F739" s="51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</row>
    <row r="740" ht="13.5" customHeight="1" spans="1:19">
      <c r="A740" s="49"/>
      <c r="C740" s="49"/>
      <c r="D740" s="49"/>
      <c r="E740" s="50"/>
      <c r="F740" s="51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</row>
    <row r="741" ht="13.5" customHeight="1" spans="1:19">
      <c r="A741" s="49"/>
      <c r="C741" s="49"/>
      <c r="D741" s="49"/>
      <c r="E741" s="50"/>
      <c r="F741" s="51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</row>
    <row r="742" ht="13.5" customHeight="1" spans="1:19">
      <c r="A742" s="49"/>
      <c r="C742" s="49"/>
      <c r="D742" s="49"/>
      <c r="E742" s="50"/>
      <c r="F742" s="51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</row>
    <row r="743" ht="13.5" customHeight="1" spans="1:19">
      <c r="A743" s="49"/>
      <c r="C743" s="49"/>
      <c r="D743" s="49"/>
      <c r="E743" s="50"/>
      <c r="F743" s="51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</row>
    <row r="744" ht="13.5" customHeight="1" spans="1:19">
      <c r="A744" s="49"/>
      <c r="C744" s="49"/>
      <c r="D744" s="49"/>
      <c r="E744" s="50"/>
      <c r="F744" s="51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</row>
    <row r="745" ht="13.5" customHeight="1" spans="1:19">
      <c r="A745" s="49"/>
      <c r="C745" s="49"/>
      <c r="D745" s="49"/>
      <c r="E745" s="50"/>
      <c r="F745" s="51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</row>
    <row r="746" ht="13.5" customHeight="1" spans="1:19">
      <c r="A746" s="49"/>
      <c r="C746" s="49"/>
      <c r="D746" s="49"/>
      <c r="E746" s="50"/>
      <c r="F746" s="51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</row>
    <row r="747" ht="13.5" customHeight="1" spans="1:19">
      <c r="A747" s="49"/>
      <c r="C747" s="49"/>
      <c r="D747" s="49"/>
      <c r="E747" s="50"/>
      <c r="F747" s="51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</row>
    <row r="748" ht="13.5" customHeight="1" spans="1:19">
      <c r="A748" s="49"/>
      <c r="C748" s="49"/>
      <c r="D748" s="49"/>
      <c r="E748" s="50"/>
      <c r="F748" s="51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</row>
    <row r="749" ht="13.5" customHeight="1" spans="1:19">
      <c r="A749" s="49"/>
      <c r="C749" s="49"/>
      <c r="D749" s="49"/>
      <c r="E749" s="50"/>
      <c r="F749" s="51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</row>
    <row r="750" ht="13.5" customHeight="1" spans="1:19">
      <c r="A750" s="49"/>
      <c r="C750" s="49"/>
      <c r="D750" s="49"/>
      <c r="E750" s="50"/>
      <c r="F750" s="51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</row>
    <row r="751" ht="13.5" customHeight="1" spans="1:19">
      <c r="A751" s="49"/>
      <c r="C751" s="49"/>
      <c r="D751" s="49"/>
      <c r="E751" s="50"/>
      <c r="F751" s="51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</row>
    <row r="752" ht="13.5" customHeight="1" spans="1:19">
      <c r="A752" s="49"/>
      <c r="C752" s="49"/>
      <c r="D752" s="49"/>
      <c r="E752" s="50"/>
      <c r="F752" s="51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</row>
    <row r="753" ht="13.5" customHeight="1" spans="1:19">
      <c r="A753" s="49"/>
      <c r="C753" s="49"/>
      <c r="D753" s="49"/>
      <c r="E753" s="50"/>
      <c r="F753" s="51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</row>
    <row r="754" ht="13.5" customHeight="1" spans="1:19">
      <c r="A754" s="49"/>
      <c r="C754" s="49"/>
      <c r="D754" s="49"/>
      <c r="E754" s="50"/>
      <c r="F754" s="51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</row>
    <row r="755" ht="13.5" customHeight="1" spans="1:19">
      <c r="A755" s="49"/>
      <c r="C755" s="49"/>
      <c r="D755" s="49"/>
      <c r="E755" s="50"/>
      <c r="F755" s="51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</row>
    <row r="756" ht="13.5" customHeight="1" spans="1:19">
      <c r="A756" s="49"/>
      <c r="C756" s="49"/>
      <c r="D756" s="49"/>
      <c r="E756" s="50"/>
      <c r="F756" s="51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</row>
    <row r="757" ht="13.5" customHeight="1" spans="1:19">
      <c r="A757" s="49"/>
      <c r="C757" s="49"/>
      <c r="D757" s="49"/>
      <c r="E757" s="50"/>
      <c r="F757" s="51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</row>
    <row r="758" ht="13.5" customHeight="1" spans="1:19">
      <c r="A758" s="49"/>
      <c r="C758" s="49"/>
      <c r="D758" s="49"/>
      <c r="E758" s="50"/>
      <c r="F758" s="51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</row>
    <row r="759" ht="13.5" customHeight="1" spans="1:19">
      <c r="A759" s="49"/>
      <c r="C759" s="49"/>
      <c r="D759" s="49"/>
      <c r="E759" s="50"/>
      <c r="F759" s="51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</row>
    <row r="760" ht="13.5" customHeight="1" spans="1:19">
      <c r="A760" s="49"/>
      <c r="C760" s="49"/>
      <c r="D760" s="49"/>
      <c r="E760" s="50"/>
      <c r="F760" s="51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</row>
    <row r="761" ht="13.5" customHeight="1" spans="1:19">
      <c r="A761" s="49"/>
      <c r="C761" s="49"/>
      <c r="D761" s="49"/>
      <c r="E761" s="50"/>
      <c r="F761" s="51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</row>
    <row r="762" ht="13.5" customHeight="1" spans="1:19">
      <c r="A762" s="49"/>
      <c r="C762" s="49"/>
      <c r="D762" s="49"/>
      <c r="E762" s="50"/>
      <c r="F762" s="51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</row>
    <row r="763" ht="13.5" customHeight="1" spans="1:19">
      <c r="A763" s="49"/>
      <c r="C763" s="49"/>
      <c r="D763" s="49"/>
      <c r="E763" s="50"/>
      <c r="F763" s="51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</row>
    <row r="764" ht="13.5" customHeight="1" spans="1:19">
      <c r="A764" s="49"/>
      <c r="C764" s="49"/>
      <c r="D764" s="49"/>
      <c r="E764" s="50"/>
      <c r="F764" s="51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</row>
    <row r="765" ht="13.5" customHeight="1" spans="1:19">
      <c r="A765" s="49"/>
      <c r="C765" s="49"/>
      <c r="D765" s="49"/>
      <c r="E765" s="50"/>
      <c r="F765" s="51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</row>
    <row r="766" ht="13.5" customHeight="1" spans="1:19">
      <c r="A766" s="49"/>
      <c r="C766" s="49"/>
      <c r="D766" s="49"/>
      <c r="E766" s="50"/>
      <c r="F766" s="51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</row>
    <row r="767" ht="13.5" customHeight="1" spans="1:19">
      <c r="A767" s="49"/>
      <c r="C767" s="49"/>
      <c r="D767" s="49"/>
      <c r="E767" s="50"/>
      <c r="F767" s="51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</row>
    <row r="768" ht="13.5" customHeight="1" spans="1:19">
      <c r="A768" s="49"/>
      <c r="C768" s="49"/>
      <c r="D768" s="49"/>
      <c r="E768" s="50"/>
      <c r="F768" s="51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</row>
    <row r="769" ht="13.5" customHeight="1" spans="1:19">
      <c r="A769" s="49"/>
      <c r="C769" s="49"/>
      <c r="D769" s="49"/>
      <c r="E769" s="50"/>
      <c r="F769" s="51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</row>
    <row r="770" ht="13.5" customHeight="1" spans="1:19">
      <c r="A770" s="49"/>
      <c r="C770" s="49"/>
      <c r="D770" s="49"/>
      <c r="E770" s="50"/>
      <c r="F770" s="51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</row>
    <row r="771" ht="13.5" customHeight="1" spans="1:19">
      <c r="A771" s="49"/>
      <c r="C771" s="49"/>
      <c r="D771" s="49"/>
      <c r="E771" s="50"/>
      <c r="F771" s="51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</row>
    <row r="772" ht="13.5" customHeight="1" spans="1:19">
      <c r="A772" s="49"/>
      <c r="C772" s="49"/>
      <c r="D772" s="49"/>
      <c r="E772" s="50"/>
      <c r="F772" s="51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</row>
    <row r="773" ht="13.5" customHeight="1" spans="1:19">
      <c r="A773" s="49"/>
      <c r="C773" s="49"/>
      <c r="D773" s="49"/>
      <c r="E773" s="50"/>
      <c r="F773" s="51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</row>
    <row r="774" ht="13.5" customHeight="1" spans="1:19">
      <c r="A774" s="49"/>
      <c r="C774" s="49"/>
      <c r="D774" s="49"/>
      <c r="E774" s="50"/>
      <c r="F774" s="51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</row>
    <row r="775" ht="13.5" customHeight="1" spans="1:19">
      <c r="A775" s="49"/>
      <c r="C775" s="49"/>
      <c r="D775" s="49"/>
      <c r="E775" s="50"/>
      <c r="F775" s="51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</row>
    <row r="776" ht="13.5" customHeight="1" spans="1:19">
      <c r="A776" s="49"/>
      <c r="C776" s="49"/>
      <c r="D776" s="49"/>
      <c r="E776" s="50"/>
      <c r="F776" s="51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</row>
    <row r="777" ht="13.5" customHeight="1" spans="1:19">
      <c r="A777" s="49"/>
      <c r="C777" s="49"/>
      <c r="D777" s="49"/>
      <c r="E777" s="50"/>
      <c r="F777" s="51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</row>
    <row r="778" ht="13.5" customHeight="1" spans="1:19">
      <c r="A778" s="49"/>
      <c r="C778" s="49"/>
      <c r="D778" s="49"/>
      <c r="E778" s="50"/>
      <c r="F778" s="51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</row>
    <row r="779" ht="13.5" customHeight="1" spans="1:19">
      <c r="A779" s="49"/>
      <c r="C779" s="49"/>
      <c r="D779" s="49"/>
      <c r="E779" s="50"/>
      <c r="F779" s="51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</row>
    <row r="780" ht="13.5" customHeight="1" spans="1:19">
      <c r="A780" s="49"/>
      <c r="C780" s="49"/>
      <c r="D780" s="49"/>
      <c r="E780" s="50"/>
      <c r="F780" s="51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</row>
    <row r="781" ht="13.5" customHeight="1" spans="1:19">
      <c r="A781" s="49"/>
      <c r="C781" s="49"/>
      <c r="D781" s="49"/>
      <c r="E781" s="50"/>
      <c r="F781" s="51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</row>
    <row r="782" ht="13.5" customHeight="1" spans="1:19">
      <c r="A782" s="49"/>
      <c r="C782" s="49"/>
      <c r="D782" s="49"/>
      <c r="E782" s="50"/>
      <c r="F782" s="51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</row>
    <row r="783" ht="13.5" customHeight="1" spans="1:19">
      <c r="A783" s="49"/>
      <c r="C783" s="49"/>
      <c r="D783" s="49"/>
      <c r="E783" s="50"/>
      <c r="F783" s="51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</row>
    <row r="784" ht="13.5" customHeight="1" spans="1:19">
      <c r="A784" s="49"/>
      <c r="C784" s="49"/>
      <c r="D784" s="49"/>
      <c r="E784" s="50"/>
      <c r="F784" s="51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</row>
    <row r="785" ht="13.5" customHeight="1" spans="1:19">
      <c r="A785" s="49"/>
      <c r="C785" s="49"/>
      <c r="D785" s="49"/>
      <c r="E785" s="50"/>
      <c r="F785" s="51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</row>
    <row r="786" ht="13.5" customHeight="1" spans="1:19">
      <c r="A786" s="49"/>
      <c r="C786" s="49"/>
      <c r="D786" s="49"/>
      <c r="E786" s="50"/>
      <c r="F786" s="51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</row>
    <row r="787" ht="13.5" customHeight="1" spans="1:19">
      <c r="A787" s="49"/>
      <c r="C787" s="49"/>
      <c r="D787" s="49"/>
      <c r="E787" s="50"/>
      <c r="F787" s="51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</row>
    <row r="788" ht="13.5" customHeight="1" spans="1:19">
      <c r="A788" s="49"/>
      <c r="C788" s="49"/>
      <c r="D788" s="49"/>
      <c r="E788" s="50"/>
      <c r="F788" s="51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</row>
    <row r="789" ht="13.5" customHeight="1" spans="1:19">
      <c r="A789" s="49"/>
      <c r="C789" s="49"/>
      <c r="D789" s="49"/>
      <c r="E789" s="50"/>
      <c r="F789" s="51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</row>
    <row r="790" ht="13.5" customHeight="1" spans="1:19">
      <c r="A790" s="49"/>
      <c r="C790" s="49"/>
      <c r="D790" s="49"/>
      <c r="E790" s="50"/>
      <c r="F790" s="51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</row>
    <row r="791" ht="13.5" customHeight="1" spans="1:19">
      <c r="A791" s="49"/>
      <c r="C791" s="49"/>
      <c r="D791" s="49"/>
      <c r="E791" s="50"/>
      <c r="F791" s="51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</row>
    <row r="792" ht="13.5" customHeight="1" spans="1:19">
      <c r="A792" s="49"/>
      <c r="C792" s="49"/>
      <c r="D792" s="49"/>
      <c r="E792" s="50"/>
      <c r="F792" s="51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</row>
    <row r="793" ht="13.5" customHeight="1" spans="1:19">
      <c r="A793" s="49"/>
      <c r="C793" s="49"/>
      <c r="D793" s="49"/>
      <c r="E793" s="50"/>
      <c r="F793" s="51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</row>
    <row r="794" ht="13.5" customHeight="1" spans="1:19">
      <c r="A794" s="49"/>
      <c r="C794" s="49"/>
      <c r="D794" s="49"/>
      <c r="E794" s="50"/>
      <c r="F794" s="51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</row>
    <row r="795" ht="13.5" customHeight="1" spans="1:19">
      <c r="A795" s="49"/>
      <c r="C795" s="49"/>
      <c r="D795" s="49"/>
      <c r="E795" s="50"/>
      <c r="F795" s="51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</row>
    <row r="796" ht="13.5" customHeight="1" spans="1:19">
      <c r="A796" s="49"/>
      <c r="C796" s="49"/>
      <c r="D796" s="49"/>
      <c r="E796" s="50"/>
      <c r="F796" s="51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</row>
    <row r="797" ht="13.5" customHeight="1" spans="1:19">
      <c r="A797" s="49"/>
      <c r="C797" s="49"/>
      <c r="D797" s="49"/>
      <c r="E797" s="50"/>
      <c r="F797" s="51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</row>
    <row r="798" ht="13.5" customHeight="1" spans="1:19">
      <c r="A798" s="49"/>
      <c r="C798" s="49"/>
      <c r="D798" s="49"/>
      <c r="E798" s="50"/>
      <c r="F798" s="51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</row>
    <row r="799" ht="13.5" customHeight="1" spans="1:19">
      <c r="A799" s="49"/>
      <c r="C799" s="49"/>
      <c r="D799" s="49"/>
      <c r="E799" s="50"/>
      <c r="F799" s="51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</row>
    <row r="800" ht="13.5" customHeight="1" spans="1:19">
      <c r="A800" s="49"/>
      <c r="C800" s="49"/>
      <c r="D800" s="49"/>
      <c r="E800" s="50"/>
      <c r="F800" s="51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</row>
    <row r="801" ht="13.5" customHeight="1" spans="1:19">
      <c r="A801" s="49"/>
      <c r="C801" s="49"/>
      <c r="D801" s="49"/>
      <c r="E801" s="50"/>
      <c r="F801" s="51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</row>
    <row r="802" ht="13.5" customHeight="1" spans="1:19">
      <c r="A802" s="49"/>
      <c r="C802" s="49"/>
      <c r="D802" s="49"/>
      <c r="E802" s="50"/>
      <c r="F802" s="51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</row>
    <row r="803" ht="13.5" customHeight="1" spans="1:19">
      <c r="A803" s="49"/>
      <c r="C803" s="49"/>
      <c r="D803" s="49"/>
      <c r="E803" s="50"/>
      <c r="F803" s="51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</row>
    <row r="804" ht="13.5" customHeight="1" spans="1:19">
      <c r="A804" s="49"/>
      <c r="C804" s="49"/>
      <c r="D804" s="49"/>
      <c r="E804" s="50"/>
      <c r="F804" s="51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</row>
    <row r="805" ht="13.5" customHeight="1" spans="1:19">
      <c r="A805" s="49"/>
      <c r="C805" s="49"/>
      <c r="D805" s="49"/>
      <c r="E805" s="50"/>
      <c r="F805" s="51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</row>
    <row r="806" ht="13.5" customHeight="1" spans="1:19">
      <c r="A806" s="49"/>
      <c r="C806" s="49"/>
      <c r="D806" s="49"/>
      <c r="E806" s="50"/>
      <c r="F806" s="51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</row>
    <row r="807" ht="13.5" customHeight="1" spans="1:19">
      <c r="A807" s="49"/>
      <c r="C807" s="49"/>
      <c r="D807" s="49"/>
      <c r="E807" s="50"/>
      <c r="F807" s="51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</row>
    <row r="808" ht="13.5" customHeight="1" spans="1:19">
      <c r="A808" s="49"/>
      <c r="C808" s="49"/>
      <c r="D808" s="49"/>
      <c r="E808" s="50"/>
      <c r="F808" s="51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</row>
    <row r="809" ht="13.5" customHeight="1" spans="1:19">
      <c r="A809" s="49"/>
      <c r="C809" s="49"/>
      <c r="D809" s="49"/>
      <c r="E809" s="50"/>
      <c r="F809" s="51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</row>
    <row r="810" ht="13.5" customHeight="1" spans="1:19">
      <c r="A810" s="49"/>
      <c r="C810" s="49"/>
      <c r="D810" s="49"/>
      <c r="E810" s="50"/>
      <c r="F810" s="51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</row>
    <row r="811" ht="13.5" customHeight="1" spans="1:19">
      <c r="A811" s="49"/>
      <c r="C811" s="49"/>
      <c r="D811" s="49"/>
      <c r="E811" s="50"/>
      <c r="F811" s="51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</row>
    <row r="812" ht="13.5" customHeight="1" spans="1:19">
      <c r="A812" s="49"/>
      <c r="C812" s="49"/>
      <c r="D812" s="49"/>
      <c r="E812" s="50"/>
      <c r="F812" s="51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</row>
    <row r="813" ht="13.5" customHeight="1" spans="1:19">
      <c r="A813" s="49"/>
      <c r="C813" s="49"/>
      <c r="D813" s="49"/>
      <c r="E813" s="50"/>
      <c r="F813" s="51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</row>
    <row r="814" ht="13.5" customHeight="1" spans="1:19">
      <c r="A814" s="49"/>
      <c r="C814" s="49"/>
      <c r="D814" s="49"/>
      <c r="E814" s="50"/>
      <c r="F814" s="51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</row>
    <row r="815" ht="13.5" customHeight="1" spans="1:19">
      <c r="A815" s="49"/>
      <c r="C815" s="49"/>
      <c r="D815" s="49"/>
      <c r="E815" s="50"/>
      <c r="F815" s="51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</row>
    <row r="816" ht="13.5" customHeight="1" spans="1:19">
      <c r="A816" s="49"/>
      <c r="C816" s="49"/>
      <c r="D816" s="49"/>
      <c r="E816" s="50"/>
      <c r="F816" s="51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</row>
    <row r="817" ht="13.5" customHeight="1" spans="1:19">
      <c r="A817" s="49"/>
      <c r="C817" s="49"/>
      <c r="D817" s="49"/>
      <c r="E817" s="50"/>
      <c r="F817" s="51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</row>
    <row r="818" ht="13.5" customHeight="1" spans="1:19">
      <c r="A818" s="49"/>
      <c r="C818" s="49"/>
      <c r="D818" s="49"/>
      <c r="E818" s="50"/>
      <c r="F818" s="51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</row>
    <row r="819" ht="13.5" customHeight="1" spans="1:19">
      <c r="A819" s="49"/>
      <c r="C819" s="49"/>
      <c r="D819" s="49"/>
      <c r="E819" s="50"/>
      <c r="F819" s="51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</row>
    <row r="820" ht="13.5" customHeight="1" spans="1:19">
      <c r="A820" s="49"/>
      <c r="C820" s="49"/>
      <c r="D820" s="49"/>
      <c r="E820" s="50"/>
      <c r="F820" s="51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</row>
    <row r="821" ht="13.5" customHeight="1" spans="1:19">
      <c r="A821" s="49"/>
      <c r="C821" s="49"/>
      <c r="D821" s="49"/>
      <c r="E821" s="50"/>
      <c r="F821" s="51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</row>
    <row r="822" ht="13.5" customHeight="1" spans="1:19">
      <c r="A822" s="49"/>
      <c r="C822" s="49"/>
      <c r="D822" s="49"/>
      <c r="E822" s="50"/>
      <c r="F822" s="51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</row>
    <row r="823" ht="13.5" customHeight="1" spans="1:19">
      <c r="A823" s="49"/>
      <c r="C823" s="49"/>
      <c r="D823" s="49"/>
      <c r="E823" s="50"/>
      <c r="F823" s="51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</row>
    <row r="824" ht="13.5" customHeight="1" spans="1:19">
      <c r="A824" s="49"/>
      <c r="C824" s="49"/>
      <c r="D824" s="49"/>
      <c r="E824" s="50"/>
      <c r="F824" s="51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</row>
    <row r="825" ht="13.5" customHeight="1" spans="1:19">
      <c r="A825" s="49"/>
      <c r="C825" s="49"/>
      <c r="D825" s="49"/>
      <c r="E825" s="50"/>
      <c r="F825" s="51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</row>
    <row r="826" ht="13.5" customHeight="1" spans="1:19">
      <c r="A826" s="49"/>
      <c r="C826" s="49"/>
      <c r="D826" s="49"/>
      <c r="E826" s="50"/>
      <c r="F826" s="51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</row>
    <row r="827" ht="13.5" customHeight="1" spans="1:19">
      <c r="A827" s="49"/>
      <c r="C827" s="49"/>
      <c r="D827" s="49"/>
      <c r="E827" s="50"/>
      <c r="F827" s="51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</row>
    <row r="828" ht="13.5" customHeight="1" spans="1:19">
      <c r="A828" s="49"/>
      <c r="C828" s="49"/>
      <c r="D828" s="49"/>
      <c r="E828" s="50"/>
      <c r="F828" s="51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</row>
    <row r="829" ht="13.5" customHeight="1" spans="1:19">
      <c r="A829" s="49"/>
      <c r="C829" s="49"/>
      <c r="D829" s="49"/>
      <c r="E829" s="50"/>
      <c r="F829" s="51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</row>
    <row r="830" ht="13.5" customHeight="1" spans="1:19">
      <c r="A830" s="49"/>
      <c r="C830" s="49"/>
      <c r="D830" s="49"/>
      <c r="E830" s="50"/>
      <c r="F830" s="51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</row>
    <row r="831" ht="13.5" customHeight="1" spans="1:19">
      <c r="A831" s="49"/>
      <c r="C831" s="49"/>
      <c r="D831" s="49"/>
      <c r="E831" s="50"/>
      <c r="F831" s="51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</row>
    <row r="832" ht="13.5" customHeight="1" spans="1:19">
      <c r="A832" s="49"/>
      <c r="C832" s="49"/>
      <c r="D832" s="49"/>
      <c r="E832" s="50"/>
      <c r="F832" s="51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</row>
    <row r="833" ht="13.5" customHeight="1" spans="1:19">
      <c r="A833" s="49"/>
      <c r="C833" s="49"/>
      <c r="D833" s="49"/>
      <c r="E833" s="50"/>
      <c r="F833" s="51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</row>
    <row r="834" ht="13.5" customHeight="1" spans="1:19">
      <c r="A834" s="49"/>
      <c r="C834" s="49"/>
      <c r="D834" s="49"/>
      <c r="E834" s="50"/>
      <c r="F834" s="51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</row>
    <row r="835" ht="13.5" customHeight="1" spans="1:19">
      <c r="A835" s="49"/>
      <c r="C835" s="49"/>
      <c r="D835" s="49"/>
      <c r="E835" s="50"/>
      <c r="F835" s="51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</row>
    <row r="836" ht="13.5" customHeight="1" spans="1:19">
      <c r="A836" s="49"/>
      <c r="C836" s="49"/>
      <c r="D836" s="49"/>
      <c r="E836" s="50"/>
      <c r="F836" s="51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</row>
    <row r="837" ht="13.5" customHeight="1" spans="1:19">
      <c r="A837" s="49"/>
      <c r="C837" s="49"/>
      <c r="D837" s="49"/>
      <c r="E837" s="50"/>
      <c r="F837" s="51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</row>
    <row r="838" ht="13.5" customHeight="1" spans="1:19">
      <c r="A838" s="49"/>
      <c r="C838" s="49"/>
      <c r="D838" s="49"/>
      <c r="E838" s="50"/>
      <c r="F838" s="51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</row>
    <row r="839" ht="13.5" customHeight="1" spans="1:19">
      <c r="A839" s="49"/>
      <c r="C839" s="49"/>
      <c r="D839" s="49"/>
      <c r="E839" s="50"/>
      <c r="F839" s="51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</row>
    <row r="840" ht="13.5" customHeight="1" spans="1:19">
      <c r="A840" s="49"/>
      <c r="C840" s="49"/>
      <c r="D840" s="49"/>
      <c r="E840" s="50"/>
      <c r="F840" s="51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</row>
    <row r="841" ht="13.5" customHeight="1" spans="1:19">
      <c r="A841" s="49"/>
      <c r="C841" s="49"/>
      <c r="D841" s="49"/>
      <c r="E841" s="50"/>
      <c r="F841" s="51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</row>
    <row r="842" ht="13.5" customHeight="1" spans="1:19">
      <c r="A842" s="49"/>
      <c r="C842" s="49"/>
      <c r="D842" s="49"/>
      <c r="E842" s="50"/>
      <c r="F842" s="51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</row>
    <row r="843" ht="13.5" customHeight="1" spans="1:19">
      <c r="A843" s="49"/>
      <c r="C843" s="49"/>
      <c r="D843" s="49"/>
      <c r="E843" s="50"/>
      <c r="F843" s="51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</row>
    <row r="844" ht="13.5" customHeight="1" spans="1:19">
      <c r="A844" s="49"/>
      <c r="C844" s="49"/>
      <c r="D844" s="49"/>
      <c r="E844" s="50"/>
      <c r="F844" s="51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</row>
    <row r="845" ht="13.5" customHeight="1" spans="1:19">
      <c r="A845" s="49"/>
      <c r="C845" s="49"/>
      <c r="D845" s="49"/>
      <c r="E845" s="50"/>
      <c r="F845" s="51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</row>
    <row r="846" ht="13.5" customHeight="1" spans="1:19">
      <c r="A846" s="49"/>
      <c r="C846" s="49"/>
      <c r="D846" s="49"/>
      <c r="E846" s="50"/>
      <c r="F846" s="51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</row>
    <row r="847" ht="13.5" customHeight="1" spans="1:19">
      <c r="A847" s="49"/>
      <c r="C847" s="49"/>
      <c r="D847" s="49"/>
      <c r="E847" s="50"/>
      <c r="F847" s="51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</row>
    <row r="848" ht="13.5" customHeight="1" spans="1:19">
      <c r="A848" s="49"/>
      <c r="C848" s="49"/>
      <c r="D848" s="49"/>
      <c r="E848" s="50"/>
      <c r="F848" s="51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</row>
    <row r="849" ht="13.5" customHeight="1" spans="1:19">
      <c r="A849" s="49"/>
      <c r="C849" s="49"/>
      <c r="D849" s="49"/>
      <c r="E849" s="50"/>
      <c r="F849" s="51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</row>
    <row r="850" ht="13.5" customHeight="1" spans="1:19">
      <c r="A850" s="49"/>
      <c r="C850" s="49"/>
      <c r="D850" s="49"/>
      <c r="E850" s="50"/>
      <c r="F850" s="51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</row>
    <row r="851" ht="13.5" customHeight="1" spans="1:19">
      <c r="A851" s="49"/>
      <c r="C851" s="49"/>
      <c r="D851" s="49"/>
      <c r="E851" s="50"/>
      <c r="F851" s="51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</row>
    <row r="852" ht="13.5" customHeight="1" spans="1:19">
      <c r="A852" s="49"/>
      <c r="C852" s="49"/>
      <c r="D852" s="49"/>
      <c r="E852" s="50"/>
      <c r="F852" s="51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</row>
    <row r="853" ht="13.5" customHeight="1" spans="1:19">
      <c r="A853" s="49"/>
      <c r="C853" s="49"/>
      <c r="D853" s="49"/>
      <c r="E853" s="50"/>
      <c r="F853" s="51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</row>
    <row r="854" ht="13.5" customHeight="1" spans="1:19">
      <c r="A854" s="49"/>
      <c r="C854" s="49"/>
      <c r="D854" s="49"/>
      <c r="E854" s="50"/>
      <c r="F854" s="51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</row>
    <row r="855" ht="13.5" customHeight="1" spans="1:19">
      <c r="A855" s="49"/>
      <c r="C855" s="49"/>
      <c r="D855" s="49"/>
      <c r="E855" s="50"/>
      <c r="F855" s="51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</row>
    <row r="856" ht="13.5" customHeight="1" spans="1:19">
      <c r="A856" s="49"/>
      <c r="C856" s="49"/>
      <c r="D856" s="49"/>
      <c r="E856" s="50"/>
      <c r="F856" s="51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</row>
    <row r="857" ht="13.5" customHeight="1" spans="1:19">
      <c r="A857" s="49"/>
      <c r="C857" s="49"/>
      <c r="D857" s="49"/>
      <c r="E857" s="50"/>
      <c r="F857" s="51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</row>
    <row r="858" ht="13.5" customHeight="1" spans="1:19">
      <c r="A858" s="49"/>
      <c r="C858" s="49"/>
      <c r="D858" s="49"/>
      <c r="E858" s="50"/>
      <c r="F858" s="51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</row>
    <row r="859" ht="13.5" customHeight="1" spans="1:19">
      <c r="A859" s="49"/>
      <c r="C859" s="49"/>
      <c r="D859" s="49"/>
      <c r="E859" s="50"/>
      <c r="F859" s="51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</row>
    <row r="860" ht="13.5" customHeight="1" spans="1:19">
      <c r="A860" s="49"/>
      <c r="C860" s="49"/>
      <c r="D860" s="49"/>
      <c r="E860" s="50"/>
      <c r="F860" s="51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</row>
    <row r="861" ht="13.5" customHeight="1" spans="1:19">
      <c r="A861" s="49"/>
      <c r="C861" s="49"/>
      <c r="D861" s="49"/>
      <c r="E861" s="50"/>
      <c r="F861" s="51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</row>
    <row r="862" ht="13.5" customHeight="1" spans="1:19">
      <c r="A862" s="49"/>
      <c r="C862" s="49"/>
      <c r="D862" s="49"/>
      <c r="E862" s="50"/>
      <c r="F862" s="51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</row>
    <row r="863" ht="13.5" customHeight="1" spans="1:19">
      <c r="A863" s="49"/>
      <c r="C863" s="49"/>
      <c r="D863" s="49"/>
      <c r="E863" s="50"/>
      <c r="F863" s="51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</row>
    <row r="864" ht="13.5" customHeight="1" spans="1:19">
      <c r="A864" s="49"/>
      <c r="C864" s="49"/>
      <c r="D864" s="49"/>
      <c r="E864" s="50"/>
      <c r="F864" s="51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</row>
    <row r="865" ht="13.5" customHeight="1" spans="1:19">
      <c r="A865" s="49"/>
      <c r="C865" s="49"/>
      <c r="D865" s="49"/>
      <c r="E865" s="50"/>
      <c r="F865" s="51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</row>
    <row r="866" ht="13.5" customHeight="1" spans="1:19">
      <c r="A866" s="49"/>
      <c r="C866" s="49"/>
      <c r="D866" s="49"/>
      <c r="E866" s="50"/>
      <c r="F866" s="51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</row>
    <row r="867" ht="13.5" customHeight="1" spans="1:19">
      <c r="A867" s="49"/>
      <c r="C867" s="49"/>
      <c r="D867" s="49"/>
      <c r="E867" s="50"/>
      <c r="F867" s="51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</row>
    <row r="868" ht="13.5" customHeight="1" spans="1:19">
      <c r="A868" s="49"/>
      <c r="C868" s="49"/>
      <c r="D868" s="49"/>
      <c r="E868" s="50"/>
      <c r="F868" s="51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</row>
    <row r="869" ht="13.5" customHeight="1" spans="1:19">
      <c r="A869" s="49"/>
      <c r="C869" s="49"/>
      <c r="D869" s="49"/>
      <c r="E869" s="50"/>
      <c r="F869" s="51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</row>
    <row r="870" ht="13.5" customHeight="1" spans="1:19">
      <c r="A870" s="49"/>
      <c r="C870" s="49"/>
      <c r="D870" s="49"/>
      <c r="E870" s="50"/>
      <c r="F870" s="51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</row>
    <row r="871" ht="13.5" customHeight="1" spans="1:19">
      <c r="A871" s="49"/>
      <c r="C871" s="49"/>
      <c r="D871" s="49"/>
      <c r="E871" s="50"/>
      <c r="F871" s="51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</row>
    <row r="872" ht="13.5" customHeight="1" spans="1:19">
      <c r="A872" s="49"/>
      <c r="C872" s="49"/>
      <c r="D872" s="49"/>
      <c r="E872" s="50"/>
      <c r="F872" s="51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</row>
    <row r="873" ht="13.5" customHeight="1" spans="1:19">
      <c r="A873" s="49"/>
      <c r="C873" s="49"/>
      <c r="D873" s="49"/>
      <c r="E873" s="50"/>
      <c r="F873" s="51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</row>
    <row r="874" ht="13.5" customHeight="1" spans="1:19">
      <c r="A874" s="49"/>
      <c r="C874" s="49"/>
      <c r="D874" s="49"/>
      <c r="E874" s="50"/>
      <c r="F874" s="51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</row>
    <row r="875" ht="13.5" customHeight="1" spans="1:19">
      <c r="A875" s="49"/>
      <c r="C875" s="49"/>
      <c r="D875" s="49"/>
      <c r="E875" s="50"/>
      <c r="F875" s="51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</row>
    <row r="876" ht="13.5" customHeight="1" spans="1:19">
      <c r="A876" s="49"/>
      <c r="C876" s="49"/>
      <c r="D876" s="49"/>
      <c r="E876" s="50"/>
      <c r="F876" s="51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</row>
    <row r="877" ht="13.5" customHeight="1" spans="1:19">
      <c r="A877" s="49"/>
      <c r="C877" s="49"/>
      <c r="D877" s="49"/>
      <c r="E877" s="50"/>
      <c r="F877" s="51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</row>
    <row r="878" ht="13.5" customHeight="1" spans="1:19">
      <c r="A878" s="49"/>
      <c r="C878" s="49"/>
      <c r="D878" s="49"/>
      <c r="E878" s="50"/>
      <c r="F878" s="51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</row>
    <row r="879" ht="13.5" customHeight="1" spans="1:19">
      <c r="A879" s="49"/>
      <c r="C879" s="49"/>
      <c r="D879" s="49"/>
      <c r="E879" s="50"/>
      <c r="F879" s="51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</row>
    <row r="880" ht="13.5" customHeight="1" spans="1:19">
      <c r="A880" s="49"/>
      <c r="C880" s="49"/>
      <c r="D880" s="49"/>
      <c r="E880" s="50"/>
      <c r="F880" s="51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</row>
    <row r="881" ht="13.5" customHeight="1" spans="1:19">
      <c r="A881" s="49"/>
      <c r="C881" s="49"/>
      <c r="D881" s="49"/>
      <c r="E881" s="50"/>
      <c r="F881" s="51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</row>
    <row r="882" ht="13.5" customHeight="1" spans="1:19">
      <c r="A882" s="49"/>
      <c r="C882" s="49"/>
      <c r="D882" s="49"/>
      <c r="E882" s="50"/>
      <c r="F882" s="51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</row>
    <row r="883" ht="13.5" customHeight="1" spans="1:19">
      <c r="A883" s="49"/>
      <c r="C883" s="49"/>
      <c r="D883" s="49"/>
      <c r="E883" s="50"/>
      <c r="F883" s="51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</row>
    <row r="884" ht="13.5" customHeight="1" spans="1:19">
      <c r="A884" s="49"/>
      <c r="C884" s="49"/>
      <c r="D884" s="49"/>
      <c r="E884" s="50"/>
      <c r="F884" s="51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</row>
    <row r="885" ht="13.5" customHeight="1" spans="1:19">
      <c r="A885" s="49"/>
      <c r="C885" s="49"/>
      <c r="D885" s="49"/>
      <c r="E885" s="50"/>
      <c r="F885" s="51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</row>
    <row r="886" ht="13.5" customHeight="1" spans="1:19">
      <c r="A886" s="49"/>
      <c r="C886" s="49"/>
      <c r="D886" s="49"/>
      <c r="E886" s="50"/>
      <c r="F886" s="51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</row>
    <row r="887" ht="13.5" customHeight="1" spans="1:19">
      <c r="A887" s="49"/>
      <c r="C887" s="49"/>
      <c r="D887" s="49"/>
      <c r="E887" s="50"/>
      <c r="F887" s="51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</row>
    <row r="888" ht="13.5" customHeight="1" spans="1:19">
      <c r="A888" s="49"/>
      <c r="C888" s="49"/>
      <c r="D888" s="49"/>
      <c r="E888" s="50"/>
      <c r="F888" s="51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</row>
    <row r="889" ht="13.5" customHeight="1" spans="1:19">
      <c r="A889" s="49"/>
      <c r="C889" s="49"/>
      <c r="D889" s="49"/>
      <c r="E889" s="50"/>
      <c r="F889" s="51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</row>
    <row r="890" ht="13.5" customHeight="1" spans="1:19">
      <c r="A890" s="49"/>
      <c r="C890" s="49"/>
      <c r="D890" s="49"/>
      <c r="E890" s="50"/>
      <c r="F890" s="51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</row>
    <row r="891" ht="13.5" customHeight="1" spans="1:19">
      <c r="A891" s="49"/>
      <c r="C891" s="49"/>
      <c r="D891" s="49"/>
      <c r="E891" s="50"/>
      <c r="F891" s="51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</row>
    <row r="892" ht="13.5" customHeight="1" spans="1:19">
      <c r="A892" s="49"/>
      <c r="C892" s="49"/>
      <c r="D892" s="49"/>
      <c r="E892" s="50"/>
      <c r="F892" s="51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</row>
    <row r="893" ht="13.5" customHeight="1" spans="1:19">
      <c r="A893" s="49"/>
      <c r="C893" s="49"/>
      <c r="D893" s="49"/>
      <c r="E893" s="50"/>
      <c r="F893" s="51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</row>
    <row r="894" ht="13.5" customHeight="1" spans="1:19">
      <c r="A894" s="49"/>
      <c r="C894" s="49"/>
      <c r="D894" s="49"/>
      <c r="E894" s="50"/>
      <c r="F894" s="51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</row>
    <row r="895" ht="13.5" customHeight="1" spans="1:19">
      <c r="A895" s="49"/>
      <c r="C895" s="49"/>
      <c r="D895" s="49"/>
      <c r="E895" s="50"/>
      <c r="F895" s="51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</row>
    <row r="896" ht="13.5" customHeight="1" spans="1:19">
      <c r="A896" s="49"/>
      <c r="C896" s="49"/>
      <c r="D896" s="49"/>
      <c r="E896" s="50"/>
      <c r="F896" s="51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</row>
    <row r="897" ht="13.5" customHeight="1" spans="1:19">
      <c r="A897" s="49"/>
      <c r="C897" s="49"/>
      <c r="D897" s="49"/>
      <c r="E897" s="50"/>
      <c r="F897" s="51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</row>
    <row r="898" ht="13.5" customHeight="1" spans="1:19">
      <c r="A898" s="49"/>
      <c r="C898" s="49"/>
      <c r="D898" s="49"/>
      <c r="E898" s="50"/>
      <c r="F898" s="51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</row>
    <row r="899" ht="13.5" customHeight="1" spans="1:19">
      <c r="A899" s="49"/>
      <c r="C899" s="49"/>
      <c r="D899" s="49"/>
      <c r="E899" s="50"/>
      <c r="F899" s="51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</row>
    <row r="900" ht="13.5" customHeight="1" spans="1:19">
      <c r="A900" s="49"/>
      <c r="C900" s="49"/>
      <c r="D900" s="49"/>
      <c r="E900" s="50"/>
      <c r="F900" s="51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</row>
    <row r="901" ht="13.5" customHeight="1" spans="1:19">
      <c r="A901" s="49"/>
      <c r="C901" s="49"/>
      <c r="D901" s="49"/>
      <c r="E901" s="50"/>
      <c r="F901" s="51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</row>
    <row r="902" ht="13.5" customHeight="1" spans="1:19">
      <c r="A902" s="49"/>
      <c r="C902" s="49"/>
      <c r="D902" s="49"/>
      <c r="E902" s="50"/>
      <c r="F902" s="51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</row>
    <row r="903" ht="13.5" customHeight="1" spans="1:19">
      <c r="A903" s="49"/>
      <c r="C903" s="49"/>
      <c r="D903" s="49"/>
      <c r="E903" s="50"/>
      <c r="F903" s="51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</row>
    <row r="904" ht="13.5" customHeight="1" spans="1:19">
      <c r="A904" s="49"/>
      <c r="C904" s="49"/>
      <c r="D904" s="49"/>
      <c r="E904" s="50"/>
      <c r="F904" s="51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</row>
    <row r="905" ht="13.5" customHeight="1" spans="1:19">
      <c r="A905" s="49"/>
      <c r="C905" s="49"/>
      <c r="D905" s="49"/>
      <c r="E905" s="50"/>
      <c r="F905" s="51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</row>
    <row r="906" ht="13.5" customHeight="1" spans="1:19">
      <c r="A906" s="49"/>
      <c r="C906" s="49"/>
      <c r="D906" s="49"/>
      <c r="E906" s="50"/>
      <c r="F906" s="51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</row>
    <row r="907" ht="13.5" customHeight="1" spans="1:19">
      <c r="A907" s="49"/>
      <c r="C907" s="49"/>
      <c r="D907" s="49"/>
      <c r="E907" s="50"/>
      <c r="F907" s="51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</row>
    <row r="908" ht="13.5" customHeight="1" spans="1:19">
      <c r="A908" s="49"/>
      <c r="C908" s="49"/>
      <c r="D908" s="49"/>
      <c r="E908" s="50"/>
      <c r="F908" s="51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</row>
    <row r="909" ht="13.5" customHeight="1" spans="1:19">
      <c r="A909" s="49"/>
      <c r="C909" s="49"/>
      <c r="D909" s="49"/>
      <c r="E909" s="50"/>
      <c r="F909" s="51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</row>
    <row r="910" ht="13.5" customHeight="1" spans="1:19">
      <c r="A910" s="49"/>
      <c r="C910" s="49"/>
      <c r="D910" s="49"/>
      <c r="E910" s="50"/>
      <c r="F910" s="51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</row>
    <row r="911" ht="13.5" customHeight="1" spans="1:19">
      <c r="A911" s="49"/>
      <c r="C911" s="49"/>
      <c r="D911" s="49"/>
      <c r="E911" s="50"/>
      <c r="F911" s="51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</row>
    <row r="912" ht="13.5" customHeight="1" spans="1:19">
      <c r="A912" s="49"/>
      <c r="C912" s="49"/>
      <c r="D912" s="49"/>
      <c r="E912" s="50"/>
      <c r="F912" s="51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</row>
    <row r="913" ht="13.5" customHeight="1" spans="1:19">
      <c r="A913" s="49"/>
      <c r="C913" s="49"/>
      <c r="D913" s="49"/>
      <c r="E913" s="50"/>
      <c r="F913" s="51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</row>
    <row r="914" ht="13.5" customHeight="1" spans="1:19">
      <c r="A914" s="49"/>
      <c r="C914" s="49"/>
      <c r="D914" s="49"/>
      <c r="E914" s="50"/>
      <c r="F914" s="51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</row>
    <row r="915" ht="13.5" customHeight="1" spans="1:19">
      <c r="A915" s="49"/>
      <c r="C915" s="49"/>
      <c r="D915" s="49"/>
      <c r="E915" s="50"/>
      <c r="F915" s="51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</row>
    <row r="916" ht="13.5" customHeight="1" spans="1:19">
      <c r="A916" s="49"/>
      <c r="C916" s="49"/>
      <c r="D916" s="49"/>
      <c r="E916" s="50"/>
      <c r="F916" s="51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</row>
    <row r="917" ht="13.5" customHeight="1" spans="1:19">
      <c r="A917" s="49"/>
      <c r="C917" s="49"/>
      <c r="D917" s="49"/>
      <c r="E917" s="50"/>
      <c r="F917" s="51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</row>
    <row r="918" ht="13.5" customHeight="1" spans="1:19">
      <c r="A918" s="49"/>
      <c r="C918" s="49"/>
      <c r="D918" s="49"/>
      <c r="E918" s="50"/>
      <c r="F918" s="51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</row>
    <row r="919" ht="13.5" customHeight="1" spans="1:19">
      <c r="A919" s="49"/>
      <c r="C919" s="49"/>
      <c r="D919" s="49"/>
      <c r="E919" s="50"/>
      <c r="F919" s="51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</row>
    <row r="920" ht="13.5" customHeight="1" spans="1:19">
      <c r="A920" s="49"/>
      <c r="C920" s="49"/>
      <c r="D920" s="49"/>
      <c r="E920" s="50"/>
      <c r="F920" s="51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</row>
    <row r="921" ht="13.5" customHeight="1" spans="1:19">
      <c r="A921" s="49"/>
      <c r="C921" s="49"/>
      <c r="D921" s="49"/>
      <c r="E921" s="50"/>
      <c r="F921" s="51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</row>
    <row r="922" ht="13.5" customHeight="1" spans="1:19">
      <c r="A922" s="49"/>
      <c r="C922" s="49"/>
      <c r="D922" s="49"/>
      <c r="E922" s="50"/>
      <c r="F922" s="51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</row>
    <row r="923" ht="13.5" customHeight="1" spans="1:19">
      <c r="A923" s="49"/>
      <c r="C923" s="49"/>
      <c r="D923" s="49"/>
      <c r="E923" s="50"/>
      <c r="F923" s="51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</row>
    <row r="924" ht="13.5" customHeight="1" spans="1:19">
      <c r="A924" s="49"/>
      <c r="C924" s="49"/>
      <c r="D924" s="49"/>
      <c r="E924" s="50"/>
      <c r="F924" s="51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</row>
    <row r="925" ht="13.5" customHeight="1" spans="1:19">
      <c r="A925" s="49"/>
      <c r="C925" s="49"/>
      <c r="D925" s="49"/>
      <c r="E925" s="50"/>
      <c r="F925" s="51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</row>
    <row r="926" ht="13.5" customHeight="1" spans="1:19">
      <c r="A926" s="49"/>
      <c r="C926" s="49"/>
      <c r="D926" s="49"/>
      <c r="E926" s="50"/>
      <c r="F926" s="51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</row>
    <row r="927" ht="13.5" customHeight="1" spans="1:19">
      <c r="A927" s="49"/>
      <c r="C927" s="49"/>
      <c r="D927" s="49"/>
      <c r="E927" s="50"/>
      <c r="F927" s="51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</row>
    <row r="928" ht="13.5" customHeight="1" spans="1:19">
      <c r="A928" s="49"/>
      <c r="C928" s="49"/>
      <c r="D928" s="49"/>
      <c r="E928" s="50"/>
      <c r="F928" s="51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</row>
    <row r="929" ht="13.5" customHeight="1" spans="1:19">
      <c r="A929" s="49"/>
      <c r="C929" s="49"/>
      <c r="D929" s="49"/>
      <c r="E929" s="50"/>
      <c r="F929" s="51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</row>
    <row r="930" ht="13.5" customHeight="1" spans="1:19">
      <c r="A930" s="49"/>
      <c r="C930" s="49"/>
      <c r="D930" s="49"/>
      <c r="E930" s="50"/>
      <c r="F930" s="51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</row>
    <row r="931" ht="13.5" customHeight="1" spans="1:19">
      <c r="A931" s="49"/>
      <c r="C931" s="49"/>
      <c r="D931" s="49"/>
      <c r="E931" s="50"/>
      <c r="F931" s="51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</row>
    <row r="932" ht="13.5" customHeight="1" spans="1:19">
      <c r="A932" s="49"/>
      <c r="C932" s="49"/>
      <c r="D932" s="49"/>
      <c r="E932" s="50"/>
      <c r="F932" s="51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</row>
    <row r="933" ht="13.5" customHeight="1" spans="1:19">
      <c r="A933" s="49"/>
      <c r="C933" s="49"/>
      <c r="D933" s="49"/>
      <c r="E933" s="50"/>
      <c r="F933" s="51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</row>
    <row r="934" ht="13.5" customHeight="1" spans="1:19">
      <c r="A934" s="49"/>
      <c r="C934" s="49"/>
      <c r="D934" s="49"/>
      <c r="E934" s="50"/>
      <c r="F934" s="51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</row>
    <row r="935" ht="13.5" customHeight="1" spans="1:19">
      <c r="A935" s="49"/>
      <c r="C935" s="49"/>
      <c r="D935" s="49"/>
      <c r="E935" s="50"/>
      <c r="F935" s="51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</row>
    <row r="936" ht="13.5" customHeight="1" spans="1:19">
      <c r="A936" s="49"/>
      <c r="C936" s="49"/>
      <c r="D936" s="49"/>
      <c r="E936" s="50"/>
      <c r="F936" s="51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</row>
    <row r="937" ht="13.5" customHeight="1" spans="1:19">
      <c r="A937" s="49"/>
      <c r="C937" s="49"/>
      <c r="D937" s="49"/>
      <c r="E937" s="50"/>
      <c r="F937" s="51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</row>
    <row r="938" ht="13.5" customHeight="1" spans="1:19">
      <c r="A938" s="49"/>
      <c r="C938" s="49"/>
      <c r="D938" s="49"/>
      <c r="E938" s="50"/>
      <c r="F938" s="51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</row>
    <row r="939" ht="13.5" customHeight="1" spans="1:19">
      <c r="A939" s="49"/>
      <c r="C939" s="49"/>
      <c r="D939" s="49"/>
      <c r="E939" s="50"/>
      <c r="F939" s="51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</row>
    <row r="940" ht="13.5" customHeight="1" spans="1:19">
      <c r="A940" s="49"/>
      <c r="C940" s="49"/>
      <c r="D940" s="49"/>
      <c r="E940" s="50"/>
      <c r="F940" s="51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</row>
    <row r="941" ht="13.5" customHeight="1" spans="1:19">
      <c r="A941" s="49"/>
      <c r="C941" s="49"/>
      <c r="D941" s="49"/>
      <c r="E941" s="50"/>
      <c r="F941" s="51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</row>
    <row r="942" ht="13.5" customHeight="1" spans="1:19">
      <c r="A942" s="49"/>
      <c r="C942" s="49"/>
      <c r="D942" s="49"/>
      <c r="E942" s="50"/>
      <c r="F942" s="51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</row>
    <row r="943" ht="13.5" customHeight="1" spans="1:19">
      <c r="A943" s="49"/>
      <c r="C943" s="49"/>
      <c r="D943" s="49"/>
      <c r="E943" s="50"/>
      <c r="F943" s="51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</row>
    <row r="944" ht="13.5" customHeight="1" spans="1:19">
      <c r="A944" s="49"/>
      <c r="C944" s="49"/>
      <c r="D944" s="49"/>
      <c r="E944" s="50"/>
      <c r="F944" s="51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</row>
    <row r="945" ht="13.5" customHeight="1" spans="1:19">
      <c r="A945" s="49"/>
      <c r="C945" s="49"/>
      <c r="D945" s="49"/>
      <c r="E945" s="50"/>
      <c r="F945" s="51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</row>
    <row r="946" ht="13.5" customHeight="1" spans="1:19">
      <c r="A946" s="49"/>
      <c r="C946" s="49"/>
      <c r="D946" s="49"/>
      <c r="E946" s="50"/>
      <c r="F946" s="51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</row>
    <row r="947" ht="13.5" customHeight="1" spans="1:19">
      <c r="A947" s="49"/>
      <c r="C947" s="49"/>
      <c r="D947" s="49"/>
      <c r="E947" s="50"/>
      <c r="F947" s="51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</row>
    <row r="948" ht="13.5" customHeight="1" spans="1:19">
      <c r="A948" s="49"/>
      <c r="C948" s="49"/>
      <c r="D948" s="49"/>
      <c r="E948" s="50"/>
      <c r="F948" s="51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</row>
    <row r="949" ht="13.5" customHeight="1" spans="1:19">
      <c r="A949" s="49"/>
      <c r="C949" s="49"/>
      <c r="D949" s="49"/>
      <c r="E949" s="50"/>
      <c r="F949" s="51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</row>
    <row r="950" ht="13.5" customHeight="1" spans="1:19">
      <c r="A950" s="49"/>
      <c r="C950" s="49"/>
      <c r="D950" s="49"/>
      <c r="E950" s="50"/>
      <c r="F950" s="51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</row>
    <row r="951" ht="13.5" customHeight="1" spans="1:19">
      <c r="A951" s="49"/>
      <c r="C951" s="49"/>
      <c r="D951" s="49"/>
      <c r="E951" s="50"/>
      <c r="F951" s="51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</row>
    <row r="952" ht="13.5" customHeight="1" spans="1:19">
      <c r="A952" s="49"/>
      <c r="C952" s="49"/>
      <c r="D952" s="49"/>
      <c r="E952" s="50"/>
      <c r="F952" s="51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</row>
    <row r="953" ht="13.5" customHeight="1" spans="1:19">
      <c r="A953" s="49"/>
      <c r="C953" s="49"/>
      <c r="D953" s="49"/>
      <c r="E953" s="50"/>
      <c r="F953" s="51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</row>
    <row r="954" ht="13.5" customHeight="1" spans="1:19">
      <c r="A954" s="49"/>
      <c r="C954" s="49"/>
      <c r="D954" s="49"/>
      <c r="E954" s="50"/>
      <c r="F954" s="51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</row>
    <row r="955" ht="13.5" customHeight="1" spans="1:19">
      <c r="A955" s="49"/>
      <c r="C955" s="49"/>
      <c r="D955" s="49"/>
      <c r="E955" s="50"/>
      <c r="F955" s="51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</row>
    <row r="956" ht="13.5" customHeight="1" spans="1:19">
      <c r="A956" s="49"/>
      <c r="C956" s="49"/>
      <c r="D956" s="49"/>
      <c r="E956" s="50"/>
      <c r="F956" s="51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</row>
    <row r="957" ht="13.5" customHeight="1" spans="1:19">
      <c r="A957" s="49"/>
      <c r="C957" s="49"/>
      <c r="D957" s="49"/>
      <c r="E957" s="50"/>
      <c r="F957" s="51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</row>
    <row r="958" ht="13.5" customHeight="1" spans="1:19">
      <c r="A958" s="49"/>
      <c r="C958" s="49"/>
      <c r="D958" s="49"/>
      <c r="E958" s="50"/>
      <c r="F958" s="51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</row>
    <row r="959" ht="13.5" customHeight="1" spans="1:19">
      <c r="A959" s="49"/>
      <c r="C959" s="49"/>
      <c r="D959" s="49"/>
      <c r="E959" s="50"/>
      <c r="F959" s="51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</row>
    <row r="960" ht="13.5" customHeight="1" spans="1:19">
      <c r="A960" s="49"/>
      <c r="C960" s="49"/>
      <c r="D960" s="49"/>
      <c r="E960" s="50"/>
      <c r="F960" s="51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</row>
    <row r="961" ht="13.5" customHeight="1" spans="1:19">
      <c r="A961" s="49"/>
      <c r="C961" s="49"/>
      <c r="D961" s="49"/>
      <c r="E961" s="50"/>
      <c r="F961" s="51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</row>
    <row r="962" ht="13.5" customHeight="1" spans="1:19">
      <c r="A962" s="49"/>
      <c r="C962" s="49"/>
      <c r="D962" s="49"/>
      <c r="E962" s="50"/>
      <c r="F962" s="51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</row>
    <row r="963" ht="13.5" customHeight="1" spans="1:19">
      <c r="A963" s="49"/>
      <c r="C963" s="49"/>
      <c r="D963" s="49"/>
      <c r="E963" s="50"/>
      <c r="F963" s="51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</row>
    <row r="964" ht="13.5" customHeight="1" spans="1:19">
      <c r="A964" s="49"/>
      <c r="C964" s="49"/>
      <c r="D964" s="49"/>
      <c r="E964" s="50"/>
      <c r="F964" s="51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</row>
    <row r="965" ht="13.5" customHeight="1" spans="1:19">
      <c r="A965" s="49"/>
      <c r="C965" s="49"/>
      <c r="D965" s="49"/>
      <c r="E965" s="50"/>
      <c r="F965" s="51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</row>
    <row r="966" ht="13.5" customHeight="1" spans="1:19">
      <c r="A966" s="49"/>
      <c r="C966" s="49"/>
      <c r="D966" s="49"/>
      <c r="E966" s="50"/>
      <c r="F966" s="51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</row>
    <row r="967" ht="13.5" customHeight="1" spans="1:19">
      <c r="A967" s="49"/>
      <c r="C967" s="49"/>
      <c r="D967" s="49"/>
      <c r="E967" s="50"/>
      <c r="F967" s="51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</row>
    <row r="968" ht="13.5" customHeight="1" spans="1:19">
      <c r="A968" s="49"/>
      <c r="C968" s="49"/>
      <c r="D968" s="49"/>
      <c r="E968" s="50"/>
      <c r="F968" s="51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</row>
    <row r="969" ht="13.5" customHeight="1" spans="1:19">
      <c r="A969" s="49"/>
      <c r="C969" s="49"/>
      <c r="D969" s="49"/>
      <c r="E969" s="50"/>
      <c r="F969" s="51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</row>
    <row r="970" ht="13.5" customHeight="1" spans="1:19">
      <c r="A970" s="49"/>
      <c r="C970" s="49"/>
      <c r="D970" s="49"/>
      <c r="E970" s="50"/>
      <c r="F970" s="51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</row>
    <row r="971" ht="13.5" customHeight="1" spans="1:19">
      <c r="A971" s="49"/>
      <c r="C971" s="49"/>
      <c r="D971" s="49"/>
      <c r="E971" s="50"/>
      <c r="F971" s="51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</row>
    <row r="972" ht="13.5" customHeight="1" spans="1:19">
      <c r="A972" s="49"/>
      <c r="C972" s="49"/>
      <c r="D972" s="49"/>
      <c r="E972" s="50"/>
      <c r="F972" s="51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</row>
    <row r="973" ht="13.5" customHeight="1" spans="1:19">
      <c r="A973" s="49"/>
      <c r="C973" s="49"/>
      <c r="D973" s="49"/>
      <c r="E973" s="50"/>
      <c r="F973" s="51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</row>
    <row r="974" ht="13.5" customHeight="1" spans="1:19">
      <c r="A974" s="49"/>
      <c r="C974" s="49"/>
      <c r="D974" s="49"/>
      <c r="E974" s="50"/>
      <c r="F974" s="51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</row>
    <row r="975" ht="13.5" customHeight="1" spans="1:19">
      <c r="A975" s="49"/>
      <c r="C975" s="49"/>
      <c r="D975" s="49"/>
      <c r="E975" s="50"/>
      <c r="F975" s="51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</row>
    <row r="976" ht="13.5" customHeight="1" spans="1:19">
      <c r="A976" s="49"/>
      <c r="C976" s="49"/>
      <c r="D976" s="49"/>
      <c r="E976" s="50"/>
      <c r="F976" s="51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</row>
    <row r="977" ht="13.5" customHeight="1" spans="1:19">
      <c r="A977" s="49"/>
      <c r="C977" s="49"/>
      <c r="D977" s="49"/>
      <c r="E977" s="50"/>
      <c r="F977" s="51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</row>
    <row r="978" ht="13.5" customHeight="1" spans="1:19">
      <c r="A978" s="49"/>
      <c r="C978" s="49"/>
      <c r="D978" s="49"/>
      <c r="E978" s="50"/>
      <c r="F978" s="51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</row>
    <row r="979" ht="13.5" customHeight="1" spans="1:19">
      <c r="A979" s="49"/>
      <c r="C979" s="49"/>
      <c r="D979" s="49"/>
      <c r="E979" s="50"/>
      <c r="F979" s="51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</row>
    <row r="980" ht="13.5" customHeight="1" spans="1:19">
      <c r="A980" s="49"/>
      <c r="C980" s="49"/>
      <c r="D980" s="49"/>
      <c r="E980" s="50"/>
      <c r="F980" s="51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</row>
    <row r="981" ht="13.5" customHeight="1" spans="1:19">
      <c r="A981" s="49"/>
      <c r="C981" s="49"/>
      <c r="D981" s="49"/>
      <c r="E981" s="50"/>
      <c r="F981" s="51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</row>
    <row r="982" ht="13.5" customHeight="1" spans="1:19">
      <c r="A982" s="49"/>
      <c r="C982" s="49"/>
      <c r="D982" s="49"/>
      <c r="E982" s="50"/>
      <c r="F982" s="51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</row>
    <row r="983" ht="13.5" customHeight="1" spans="1:19">
      <c r="A983" s="49"/>
      <c r="C983" s="49"/>
      <c r="D983" s="49"/>
      <c r="E983" s="50"/>
      <c r="F983" s="51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</row>
    <row r="984" ht="13.5" customHeight="1" spans="1:19">
      <c r="A984" s="49"/>
      <c r="C984" s="49"/>
      <c r="D984" s="49"/>
      <c r="E984" s="50"/>
      <c r="F984" s="51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</row>
    <row r="985" ht="13.5" customHeight="1" spans="1:19">
      <c r="A985" s="49"/>
      <c r="C985" s="49"/>
      <c r="D985" s="49"/>
      <c r="E985" s="50"/>
      <c r="F985" s="51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</row>
    <row r="986" ht="13.5" customHeight="1" spans="1:19">
      <c r="A986" s="49"/>
      <c r="C986" s="49"/>
      <c r="D986" s="49"/>
      <c r="E986" s="50"/>
      <c r="F986" s="51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</row>
    <row r="987" ht="13.5" customHeight="1" spans="1:19">
      <c r="A987" s="49"/>
      <c r="C987" s="49"/>
      <c r="D987" s="49"/>
      <c r="E987" s="50"/>
      <c r="F987" s="51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</row>
    <row r="988" ht="13.5" customHeight="1" spans="1:19">
      <c r="A988" s="49"/>
      <c r="C988" s="49"/>
      <c r="D988" s="49"/>
      <c r="E988" s="50"/>
      <c r="F988" s="51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</row>
    <row r="989" ht="13.5" customHeight="1" spans="1:19">
      <c r="A989" s="49"/>
      <c r="C989" s="49"/>
      <c r="D989" s="49"/>
      <c r="E989" s="50"/>
      <c r="F989" s="51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</row>
    <row r="990" ht="13.5" customHeight="1" spans="1:19">
      <c r="A990" s="49"/>
      <c r="C990" s="49"/>
      <c r="D990" s="49"/>
      <c r="E990" s="50"/>
      <c r="F990" s="51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</row>
    <row r="991" ht="13.5" customHeight="1" spans="1:19">
      <c r="A991" s="49"/>
      <c r="C991" s="49"/>
      <c r="D991" s="49"/>
      <c r="E991" s="50"/>
      <c r="F991" s="51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</row>
    <row r="992" ht="13.5" customHeight="1" spans="1:19">
      <c r="A992" s="49"/>
      <c r="C992" s="49"/>
      <c r="D992" s="49"/>
      <c r="E992" s="50"/>
      <c r="F992" s="51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</row>
    <row r="993" ht="13.5" customHeight="1" spans="1:19">
      <c r="A993" s="49"/>
      <c r="C993" s="49"/>
      <c r="D993" s="49"/>
      <c r="E993" s="50"/>
      <c r="F993" s="51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</row>
    <row r="994" ht="13.5" customHeight="1" spans="1:19">
      <c r="A994" s="49"/>
      <c r="C994" s="49"/>
      <c r="D994" s="49"/>
      <c r="E994" s="50"/>
      <c r="F994" s="51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</row>
    <row r="995" ht="13.5" customHeight="1" spans="1:19">
      <c r="A995" s="49"/>
      <c r="C995" s="49"/>
      <c r="D995" s="49"/>
      <c r="E995" s="50"/>
      <c r="F995" s="51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</row>
    <row r="996" ht="13.5" customHeight="1" spans="1:19">
      <c r="A996" s="49"/>
      <c r="C996" s="49"/>
      <c r="D996" s="49"/>
      <c r="E996" s="50"/>
      <c r="F996" s="51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</row>
    <row r="997" ht="13.5" customHeight="1" spans="1:19">
      <c r="A997" s="49"/>
      <c r="C997" s="49"/>
      <c r="D997" s="49"/>
      <c r="E997" s="50"/>
      <c r="F997" s="51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</row>
    <row r="998" ht="13.5" customHeight="1" spans="1:19">
      <c r="A998" s="49"/>
      <c r="C998" s="49"/>
      <c r="D998" s="49"/>
      <c r="E998" s="50"/>
      <c r="F998" s="51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</row>
    <row r="999" ht="13.5" customHeight="1" spans="1:19">
      <c r="A999" s="49"/>
      <c r="C999" s="49"/>
      <c r="D999" s="49"/>
      <c r="E999" s="50"/>
      <c r="F999" s="51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</row>
    <row r="1000" ht="13.5" customHeight="1" spans="1:19">
      <c r="A1000" s="49"/>
      <c r="C1000" s="49"/>
      <c r="D1000" s="49"/>
      <c r="E1000" s="50"/>
      <c r="F1000" s="51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</row>
    <row r="1001" ht="13.5" customHeight="1" spans="1:19">
      <c r="A1001" s="49"/>
      <c r="C1001" s="49"/>
      <c r="D1001" s="49"/>
      <c r="E1001" s="50"/>
      <c r="F1001" s="51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</row>
    <row r="1002" ht="13.5" customHeight="1" spans="1:19">
      <c r="A1002" s="49"/>
      <c r="C1002" s="49"/>
      <c r="D1002" s="49"/>
      <c r="E1002" s="50"/>
      <c r="F1002" s="51"/>
      <c r="G1002" s="49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</row>
    <row r="1003" ht="13.5" customHeight="1" spans="1:19">
      <c r="A1003" s="49"/>
      <c r="C1003" s="49"/>
      <c r="D1003" s="49"/>
      <c r="E1003" s="50"/>
      <c r="F1003" s="51"/>
      <c r="G1003" s="49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</row>
    <row r="1004" ht="13.5" customHeight="1" spans="1:19">
      <c r="A1004" s="49"/>
      <c r="C1004" s="49"/>
      <c r="D1004" s="49"/>
      <c r="E1004" s="50"/>
      <c r="F1004" s="51"/>
      <c r="G1004" s="49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</row>
    <row r="1005" ht="13.5" customHeight="1" spans="1:19">
      <c r="A1005" s="49"/>
      <c r="C1005" s="49"/>
      <c r="D1005" s="49"/>
      <c r="E1005" s="50"/>
      <c r="F1005" s="51"/>
      <c r="G1005" s="49"/>
      <c r="H1005" s="49"/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</row>
    <row r="1006" ht="13.5" customHeight="1" spans="1:19">
      <c r="A1006" s="49"/>
      <c r="C1006" s="49"/>
      <c r="D1006" s="49"/>
      <c r="E1006" s="50"/>
      <c r="F1006" s="51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</row>
    <row r="1007" ht="13.5" customHeight="1" spans="1:19">
      <c r="A1007" s="49"/>
      <c r="C1007" s="49"/>
      <c r="D1007" s="49"/>
      <c r="E1007" s="50"/>
      <c r="F1007" s="51"/>
      <c r="G1007" s="49"/>
      <c r="H1007" s="49"/>
      <c r="I1007" s="49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</row>
    <row r="1008" ht="13.5" customHeight="1" spans="1:19">
      <c r="A1008" s="49"/>
      <c r="C1008" s="49"/>
      <c r="D1008" s="49"/>
      <c r="E1008" s="50"/>
      <c r="F1008" s="51"/>
      <c r="G1008" s="49"/>
      <c r="H1008" s="49"/>
      <c r="I1008" s="49"/>
      <c r="J1008" s="49"/>
      <c r="K1008" s="49"/>
      <c r="L1008" s="49"/>
      <c r="M1008" s="49"/>
      <c r="N1008" s="49"/>
      <c r="O1008" s="49"/>
      <c r="P1008" s="49"/>
      <c r="Q1008" s="49"/>
      <c r="R1008" s="49"/>
      <c r="S1008" s="49"/>
    </row>
    <row r="1009" ht="13.5" customHeight="1" spans="1:19">
      <c r="A1009" s="49"/>
      <c r="C1009" s="49"/>
      <c r="D1009" s="49"/>
      <c r="E1009" s="50"/>
      <c r="F1009" s="51"/>
      <c r="G1009" s="49"/>
      <c r="H1009" s="49"/>
      <c r="I1009" s="49"/>
      <c r="J1009" s="49"/>
      <c r="K1009" s="49"/>
      <c r="L1009" s="49"/>
      <c r="M1009" s="49"/>
      <c r="N1009" s="49"/>
      <c r="O1009" s="49"/>
      <c r="P1009" s="49"/>
      <c r="Q1009" s="49"/>
      <c r="R1009" s="49"/>
      <c r="S1009" s="49"/>
    </row>
    <row r="1010" ht="13.5" customHeight="1" spans="1:19">
      <c r="A1010" s="49"/>
      <c r="C1010" s="49"/>
      <c r="D1010" s="49"/>
      <c r="E1010" s="50"/>
      <c r="F1010" s="51"/>
      <c r="G1010" s="49"/>
      <c r="H1010" s="49"/>
      <c r="I1010" s="49"/>
      <c r="J1010" s="49"/>
      <c r="K1010" s="49"/>
      <c r="L1010" s="49"/>
      <c r="M1010" s="49"/>
      <c r="N1010" s="49"/>
      <c r="O1010" s="49"/>
      <c r="P1010" s="49"/>
      <c r="Q1010" s="49"/>
      <c r="R1010" s="49"/>
      <c r="S1010" s="49"/>
    </row>
    <row r="1011" ht="13.5" customHeight="1" spans="1:19">
      <c r="A1011" s="49"/>
      <c r="C1011" s="49"/>
      <c r="D1011" s="49"/>
      <c r="E1011" s="50"/>
      <c r="F1011" s="51"/>
      <c r="G1011" s="49"/>
      <c r="H1011" s="49"/>
      <c r="I1011" s="49"/>
      <c r="J1011" s="49"/>
      <c r="K1011" s="49"/>
      <c r="L1011" s="49"/>
      <c r="M1011" s="49"/>
      <c r="N1011" s="49"/>
      <c r="O1011" s="49"/>
      <c r="P1011" s="49"/>
      <c r="Q1011" s="49"/>
      <c r="R1011" s="49"/>
      <c r="S1011" s="49"/>
    </row>
    <row r="1012" ht="13.5" customHeight="1" spans="1:19">
      <c r="A1012" s="49"/>
      <c r="C1012" s="49"/>
      <c r="D1012" s="49"/>
      <c r="E1012" s="50"/>
      <c r="F1012" s="51"/>
      <c r="G1012" s="49"/>
      <c r="H1012" s="49"/>
      <c r="I1012" s="49"/>
      <c r="J1012" s="49"/>
      <c r="K1012" s="49"/>
      <c r="L1012" s="49"/>
      <c r="M1012" s="49"/>
      <c r="N1012" s="49"/>
      <c r="O1012" s="49"/>
      <c r="P1012" s="49"/>
      <c r="Q1012" s="49"/>
      <c r="R1012" s="49"/>
      <c r="S1012" s="49"/>
    </row>
    <row r="1013" ht="13.5" customHeight="1" spans="1:19">
      <c r="A1013" s="49"/>
      <c r="C1013" s="49"/>
      <c r="D1013" s="49"/>
      <c r="E1013" s="50"/>
      <c r="F1013" s="51"/>
      <c r="G1013" s="49"/>
      <c r="H1013" s="49"/>
      <c r="I1013" s="49"/>
      <c r="J1013" s="49"/>
      <c r="K1013" s="49"/>
      <c r="L1013" s="49"/>
      <c r="M1013" s="49"/>
      <c r="N1013" s="49"/>
      <c r="O1013" s="49"/>
      <c r="P1013" s="49"/>
      <c r="Q1013" s="49"/>
      <c r="R1013" s="49"/>
      <c r="S1013" s="49"/>
    </row>
    <row r="1014" ht="13.5" customHeight="1" spans="1:19">
      <c r="A1014" s="49"/>
      <c r="C1014" s="49"/>
      <c r="D1014" s="49"/>
      <c r="E1014" s="50"/>
      <c r="F1014" s="51"/>
      <c r="G1014" s="49"/>
      <c r="H1014" s="49"/>
      <c r="I1014" s="49"/>
      <c r="J1014" s="49"/>
      <c r="K1014" s="49"/>
      <c r="L1014" s="49"/>
      <c r="M1014" s="49"/>
      <c r="N1014" s="49"/>
      <c r="O1014" s="49"/>
      <c r="P1014" s="49"/>
      <c r="Q1014" s="49"/>
      <c r="R1014" s="49"/>
      <c r="S1014" s="49"/>
    </row>
    <row r="1015" ht="13.5" customHeight="1" spans="1:19">
      <c r="A1015" s="49"/>
      <c r="C1015" s="49"/>
      <c r="D1015" s="49"/>
      <c r="E1015" s="50"/>
      <c r="F1015" s="51"/>
      <c r="G1015" s="49"/>
      <c r="H1015" s="49"/>
      <c r="I1015" s="49"/>
      <c r="J1015" s="49"/>
      <c r="K1015" s="49"/>
      <c r="L1015" s="49"/>
      <c r="M1015" s="49"/>
      <c r="N1015" s="49"/>
      <c r="O1015" s="49"/>
      <c r="P1015" s="49"/>
      <c r="Q1015" s="49"/>
      <c r="R1015" s="49"/>
      <c r="S1015" s="49"/>
    </row>
    <row r="1016" ht="13.5" customHeight="1" spans="1:19">
      <c r="A1016" s="49"/>
      <c r="C1016" s="49"/>
      <c r="D1016" s="49"/>
      <c r="E1016" s="50"/>
      <c r="F1016" s="51"/>
      <c r="G1016" s="49"/>
      <c r="H1016" s="49"/>
      <c r="I1016" s="49"/>
      <c r="J1016" s="49"/>
      <c r="K1016" s="49"/>
      <c r="L1016" s="49"/>
      <c r="M1016" s="49"/>
      <c r="N1016" s="49"/>
      <c r="O1016" s="49"/>
      <c r="P1016" s="49"/>
      <c r="Q1016" s="49"/>
      <c r="R1016" s="49"/>
      <c r="S1016" s="49"/>
    </row>
    <row r="1017" ht="13.5" customHeight="1" spans="1:19">
      <c r="A1017" s="49"/>
      <c r="C1017" s="49"/>
      <c r="D1017" s="49"/>
      <c r="E1017" s="50"/>
      <c r="F1017" s="51"/>
      <c r="G1017" s="49"/>
      <c r="H1017" s="49"/>
      <c r="I1017" s="49"/>
      <c r="J1017" s="49"/>
      <c r="K1017" s="49"/>
      <c r="L1017" s="49"/>
      <c r="M1017" s="49"/>
      <c r="N1017" s="49"/>
      <c r="O1017" s="49"/>
      <c r="P1017" s="49"/>
      <c r="Q1017" s="49"/>
      <c r="R1017" s="49"/>
      <c r="S1017" s="49"/>
    </row>
    <row r="1018" ht="13.5" customHeight="1" spans="1:19">
      <c r="A1018" s="49"/>
      <c r="C1018" s="49"/>
      <c r="D1018" s="49"/>
      <c r="E1018" s="50"/>
      <c r="F1018" s="51"/>
      <c r="G1018" s="49"/>
      <c r="H1018" s="49"/>
      <c r="I1018" s="49"/>
      <c r="J1018" s="49"/>
      <c r="K1018" s="49"/>
      <c r="L1018" s="49"/>
      <c r="M1018" s="49"/>
      <c r="N1018" s="49"/>
      <c r="O1018" s="49"/>
      <c r="P1018" s="49"/>
      <c r="Q1018" s="49"/>
      <c r="R1018" s="49"/>
      <c r="S1018" s="49"/>
    </row>
    <row r="1019" ht="13.5" customHeight="1" spans="1:19">
      <c r="A1019" s="49"/>
      <c r="C1019" s="49"/>
      <c r="D1019" s="49"/>
      <c r="E1019" s="50"/>
      <c r="F1019" s="51"/>
      <c r="G1019" s="49"/>
      <c r="H1019" s="49"/>
      <c r="I1019" s="49"/>
      <c r="J1019" s="49"/>
      <c r="K1019" s="49"/>
      <c r="L1019" s="49"/>
      <c r="M1019" s="49"/>
      <c r="N1019" s="49"/>
      <c r="O1019" s="49"/>
      <c r="P1019" s="49"/>
      <c r="Q1019" s="49"/>
      <c r="R1019" s="49"/>
      <c r="S1019" s="49"/>
    </row>
    <row r="1020" ht="13.5" customHeight="1" spans="1:19">
      <c r="A1020" s="49"/>
      <c r="C1020" s="49"/>
      <c r="D1020" s="49"/>
      <c r="E1020" s="50"/>
      <c r="F1020" s="51"/>
      <c r="G1020" s="49"/>
      <c r="H1020" s="49"/>
      <c r="I1020" s="49"/>
      <c r="J1020" s="49"/>
      <c r="K1020" s="49"/>
      <c r="L1020" s="49"/>
      <c r="M1020" s="49"/>
      <c r="N1020" s="49"/>
      <c r="O1020" s="49"/>
      <c r="P1020" s="49"/>
      <c r="Q1020" s="49"/>
      <c r="R1020" s="49"/>
      <c r="S1020" s="49"/>
    </row>
    <row r="1021" ht="13.5" customHeight="1" spans="1:19">
      <c r="A1021" s="49"/>
      <c r="C1021" s="49"/>
      <c r="D1021" s="49"/>
      <c r="E1021" s="50"/>
      <c r="F1021" s="51"/>
      <c r="G1021" s="49"/>
      <c r="H1021" s="49"/>
      <c r="I1021" s="49"/>
      <c r="J1021" s="49"/>
      <c r="K1021" s="49"/>
      <c r="L1021" s="49"/>
      <c r="M1021" s="49"/>
      <c r="N1021" s="49"/>
      <c r="O1021" s="49"/>
      <c r="P1021" s="49"/>
      <c r="Q1021" s="49"/>
      <c r="R1021" s="49"/>
      <c r="S1021" s="49"/>
    </row>
    <row r="1022" ht="13.5" customHeight="1" spans="1:19">
      <c r="A1022" s="49"/>
      <c r="C1022" s="49"/>
      <c r="D1022" s="49"/>
      <c r="E1022" s="50"/>
      <c r="F1022" s="51"/>
      <c r="G1022" s="49"/>
      <c r="H1022" s="49"/>
      <c r="I1022" s="49"/>
      <c r="J1022" s="49"/>
      <c r="K1022" s="49"/>
      <c r="L1022" s="49"/>
      <c r="M1022" s="49"/>
      <c r="N1022" s="49"/>
      <c r="O1022" s="49"/>
      <c r="P1022" s="49"/>
      <c r="Q1022" s="49"/>
      <c r="R1022" s="49"/>
      <c r="S1022" s="49"/>
    </row>
    <row r="1023" ht="13.5" customHeight="1" spans="1:19">
      <c r="A1023" s="49"/>
      <c r="C1023" s="49"/>
      <c r="D1023" s="49"/>
      <c r="E1023" s="50"/>
      <c r="F1023" s="51"/>
      <c r="G1023" s="49"/>
      <c r="H1023" s="49"/>
      <c r="I1023" s="49"/>
      <c r="J1023" s="49"/>
      <c r="K1023" s="49"/>
      <c r="L1023" s="49"/>
      <c r="M1023" s="49"/>
      <c r="N1023" s="49"/>
      <c r="O1023" s="49"/>
      <c r="P1023" s="49"/>
      <c r="Q1023" s="49"/>
      <c r="R1023" s="49"/>
      <c r="S1023" s="49"/>
    </row>
    <row r="1024" ht="13.5" customHeight="1" spans="1:19">
      <c r="A1024" s="49"/>
      <c r="C1024" s="49"/>
      <c r="D1024" s="49"/>
      <c r="E1024" s="50"/>
      <c r="F1024" s="51"/>
      <c r="G1024" s="49"/>
      <c r="H1024" s="49"/>
      <c r="I1024" s="49"/>
      <c r="J1024" s="49"/>
      <c r="K1024" s="49"/>
      <c r="L1024" s="49"/>
      <c r="M1024" s="49"/>
      <c r="N1024" s="49"/>
      <c r="O1024" s="49"/>
      <c r="P1024" s="49"/>
      <c r="Q1024" s="49"/>
      <c r="R1024" s="49"/>
      <c r="S1024" s="49"/>
    </row>
    <row r="1025" ht="13.5" customHeight="1" spans="1:19">
      <c r="A1025" s="49"/>
      <c r="C1025" s="49"/>
      <c r="D1025" s="49"/>
      <c r="E1025" s="50"/>
      <c r="F1025" s="51"/>
      <c r="G1025" s="49"/>
      <c r="H1025" s="49"/>
      <c r="I1025" s="49"/>
      <c r="J1025" s="49"/>
      <c r="K1025" s="49"/>
      <c r="L1025" s="49"/>
      <c r="M1025" s="49"/>
      <c r="N1025" s="49"/>
      <c r="O1025" s="49"/>
      <c r="P1025" s="49"/>
      <c r="Q1025" s="49"/>
      <c r="R1025" s="49"/>
      <c r="S1025" s="49"/>
    </row>
    <row r="1026" ht="13.5" customHeight="1" spans="1:19">
      <c r="A1026" s="49"/>
      <c r="C1026" s="49"/>
      <c r="D1026" s="49"/>
      <c r="E1026" s="50"/>
      <c r="F1026" s="51"/>
      <c r="G1026" s="49"/>
      <c r="H1026" s="49"/>
      <c r="I1026" s="49"/>
      <c r="J1026" s="49"/>
      <c r="K1026" s="49"/>
      <c r="L1026" s="49"/>
      <c r="M1026" s="49"/>
      <c r="N1026" s="49"/>
      <c r="O1026" s="49"/>
      <c r="P1026" s="49"/>
      <c r="Q1026" s="49"/>
      <c r="R1026" s="49"/>
      <c r="S1026" s="49"/>
    </row>
    <row r="1027" ht="13.5" customHeight="1" spans="1:19">
      <c r="A1027" s="49"/>
      <c r="C1027" s="49"/>
      <c r="D1027" s="49"/>
      <c r="E1027" s="50"/>
      <c r="F1027" s="51"/>
      <c r="G1027" s="49"/>
      <c r="H1027" s="49"/>
      <c r="I1027" s="49"/>
      <c r="J1027" s="49"/>
      <c r="K1027" s="49"/>
      <c r="L1027" s="49"/>
      <c r="M1027" s="49"/>
      <c r="N1027" s="49"/>
      <c r="O1027" s="49"/>
      <c r="P1027" s="49"/>
      <c r="Q1027" s="49"/>
      <c r="R1027" s="49"/>
      <c r="S1027" s="49"/>
    </row>
    <row r="1028" ht="13.5" customHeight="1" spans="1:19">
      <c r="A1028" s="49"/>
      <c r="C1028" s="49"/>
      <c r="D1028" s="49"/>
      <c r="E1028" s="50"/>
      <c r="F1028" s="51"/>
      <c r="G1028" s="49"/>
      <c r="H1028" s="49"/>
      <c r="I1028" s="49"/>
      <c r="J1028" s="49"/>
      <c r="K1028" s="49"/>
      <c r="L1028" s="49"/>
      <c r="M1028" s="49"/>
      <c r="N1028" s="49"/>
      <c r="O1028" s="49"/>
      <c r="P1028" s="49"/>
      <c r="Q1028" s="49"/>
      <c r="R1028" s="49"/>
      <c r="S1028" s="49"/>
    </row>
    <row r="1029" ht="13.5" customHeight="1" spans="1:19">
      <c r="A1029" s="49"/>
      <c r="C1029" s="49"/>
      <c r="D1029" s="49"/>
      <c r="E1029" s="50"/>
      <c r="F1029" s="51"/>
      <c r="G1029" s="49"/>
      <c r="H1029" s="49"/>
      <c r="I1029" s="49"/>
      <c r="J1029" s="49"/>
      <c r="K1029" s="49"/>
      <c r="L1029" s="49"/>
      <c r="M1029" s="49"/>
      <c r="N1029" s="49"/>
      <c r="O1029" s="49"/>
      <c r="P1029" s="49"/>
      <c r="Q1029" s="49"/>
      <c r="R1029" s="49"/>
      <c r="S1029" s="49"/>
    </row>
    <row r="1030" ht="13.5" customHeight="1" spans="1:19">
      <c r="A1030" s="49"/>
      <c r="C1030" s="49"/>
      <c r="D1030" s="49"/>
      <c r="E1030" s="50"/>
      <c r="F1030" s="51"/>
      <c r="G1030" s="49"/>
      <c r="H1030" s="49"/>
      <c r="I1030" s="49"/>
      <c r="J1030" s="49"/>
      <c r="K1030" s="49"/>
      <c r="L1030" s="49"/>
      <c r="M1030" s="49"/>
      <c r="N1030" s="49"/>
      <c r="O1030" s="49"/>
      <c r="P1030" s="49"/>
      <c r="Q1030" s="49"/>
      <c r="R1030" s="49"/>
      <c r="S1030" s="49"/>
    </row>
    <row r="1031" ht="13.5" customHeight="1" spans="1:19">
      <c r="A1031" s="49"/>
      <c r="C1031" s="49"/>
      <c r="D1031" s="49"/>
      <c r="E1031" s="50"/>
      <c r="F1031" s="51"/>
      <c r="G1031" s="49"/>
      <c r="H1031" s="49"/>
      <c r="I1031" s="49"/>
      <c r="J1031" s="49"/>
      <c r="K1031" s="49"/>
      <c r="L1031" s="49"/>
      <c r="M1031" s="49"/>
      <c r="N1031" s="49"/>
      <c r="O1031" s="49"/>
      <c r="P1031" s="49"/>
      <c r="Q1031" s="49"/>
      <c r="R1031" s="49"/>
      <c r="S1031" s="49"/>
    </row>
    <row r="1032" ht="13.5" customHeight="1" spans="1:19">
      <c r="A1032" s="49"/>
      <c r="C1032" s="49"/>
      <c r="D1032" s="49"/>
      <c r="E1032" s="50"/>
      <c r="F1032" s="51"/>
      <c r="G1032" s="49"/>
      <c r="H1032" s="49"/>
      <c r="I1032" s="49"/>
      <c r="J1032" s="49"/>
      <c r="K1032" s="49"/>
      <c r="L1032" s="49"/>
      <c r="M1032" s="49"/>
      <c r="N1032" s="49"/>
      <c r="O1032" s="49"/>
      <c r="P1032" s="49"/>
      <c r="Q1032" s="49"/>
      <c r="R1032" s="49"/>
      <c r="S1032" s="49"/>
    </row>
    <row r="1033" ht="13.5" customHeight="1" spans="1:19">
      <c r="A1033" s="49"/>
      <c r="C1033" s="49"/>
      <c r="D1033" s="49"/>
      <c r="E1033" s="50"/>
      <c r="F1033" s="51"/>
      <c r="G1033" s="49"/>
      <c r="H1033" s="49"/>
      <c r="I1033" s="49"/>
      <c r="J1033" s="49"/>
      <c r="K1033" s="49"/>
      <c r="L1033" s="49"/>
      <c r="M1033" s="49"/>
      <c r="N1033" s="49"/>
      <c r="O1033" s="49"/>
      <c r="P1033" s="49"/>
      <c r="Q1033" s="49"/>
      <c r="R1033" s="49"/>
      <c r="S1033" s="49"/>
    </row>
    <row r="1034" ht="13.5" customHeight="1" spans="1:19">
      <c r="A1034" s="49"/>
      <c r="C1034" s="49"/>
      <c r="D1034" s="49"/>
      <c r="E1034" s="50"/>
      <c r="F1034" s="51"/>
      <c r="G1034" s="49"/>
      <c r="H1034" s="49"/>
      <c r="I1034" s="49"/>
      <c r="J1034" s="49"/>
      <c r="K1034" s="49"/>
      <c r="L1034" s="49"/>
      <c r="M1034" s="49"/>
      <c r="N1034" s="49"/>
      <c r="O1034" s="49"/>
      <c r="P1034" s="49"/>
      <c r="Q1034" s="49"/>
      <c r="R1034" s="49"/>
      <c r="S1034" s="49"/>
    </row>
    <row r="1035" ht="13.5" customHeight="1" spans="1:19">
      <c r="A1035" s="49"/>
      <c r="C1035" s="49"/>
      <c r="D1035" s="49"/>
      <c r="E1035" s="50"/>
      <c r="F1035" s="51"/>
      <c r="G1035" s="49"/>
      <c r="H1035" s="49"/>
      <c r="I1035" s="49"/>
      <c r="J1035" s="49"/>
      <c r="K1035" s="49"/>
      <c r="L1035" s="49"/>
      <c r="M1035" s="49"/>
      <c r="N1035" s="49"/>
      <c r="O1035" s="49"/>
      <c r="P1035" s="49"/>
      <c r="Q1035" s="49"/>
      <c r="R1035" s="49"/>
      <c r="S1035" s="49"/>
    </row>
    <row r="1036" ht="13.5" customHeight="1" spans="1:19">
      <c r="A1036" s="49"/>
      <c r="C1036" s="49"/>
      <c r="D1036" s="49"/>
      <c r="E1036" s="50"/>
      <c r="F1036" s="51"/>
      <c r="G1036" s="49"/>
      <c r="H1036" s="49"/>
      <c r="I1036" s="49"/>
      <c r="J1036" s="49"/>
      <c r="K1036" s="49"/>
      <c r="L1036" s="49"/>
      <c r="M1036" s="49"/>
      <c r="N1036" s="49"/>
      <c r="O1036" s="49"/>
      <c r="P1036" s="49"/>
      <c r="Q1036" s="49"/>
      <c r="R1036" s="49"/>
      <c r="S1036" s="49"/>
    </row>
    <row r="1037" ht="13.5" customHeight="1" spans="1:19">
      <c r="A1037" s="49"/>
      <c r="C1037" s="49"/>
      <c r="D1037" s="49"/>
      <c r="E1037" s="50"/>
      <c r="F1037" s="51"/>
      <c r="G1037" s="49"/>
      <c r="H1037" s="49"/>
      <c r="I1037" s="49"/>
      <c r="J1037" s="49"/>
      <c r="K1037" s="49"/>
      <c r="L1037" s="49"/>
      <c r="M1037" s="49"/>
      <c r="N1037" s="49"/>
      <c r="O1037" s="49"/>
      <c r="P1037" s="49"/>
      <c r="Q1037" s="49"/>
      <c r="R1037" s="49"/>
      <c r="S1037" s="49"/>
    </row>
    <row r="1038" ht="13.5" customHeight="1" spans="1:19">
      <c r="A1038" s="49"/>
      <c r="C1038" s="49"/>
      <c r="D1038" s="49"/>
      <c r="E1038" s="50"/>
      <c r="F1038" s="51"/>
      <c r="G1038" s="49"/>
      <c r="H1038" s="49"/>
      <c r="I1038" s="49"/>
      <c r="J1038" s="49"/>
      <c r="K1038" s="49"/>
      <c r="L1038" s="49"/>
      <c r="M1038" s="49"/>
      <c r="N1038" s="49"/>
      <c r="O1038" s="49"/>
      <c r="P1038" s="49"/>
      <c r="Q1038" s="49"/>
      <c r="R1038" s="49"/>
      <c r="S1038" s="49"/>
    </row>
    <row r="1039" ht="13.5" customHeight="1" spans="1:19">
      <c r="A1039" s="49"/>
      <c r="C1039" s="49"/>
      <c r="D1039" s="49"/>
      <c r="E1039" s="50"/>
      <c r="F1039" s="51"/>
      <c r="G1039" s="49"/>
      <c r="H1039" s="49"/>
      <c r="I1039" s="49"/>
      <c r="J1039" s="49"/>
      <c r="K1039" s="49"/>
      <c r="L1039" s="49"/>
      <c r="M1039" s="49"/>
      <c r="N1039" s="49"/>
      <c r="O1039" s="49"/>
      <c r="P1039" s="49"/>
      <c r="Q1039" s="49"/>
      <c r="R1039" s="49"/>
      <c r="S1039" s="49"/>
    </row>
    <row r="1040" ht="13.5" customHeight="1" spans="1:19">
      <c r="A1040" s="49"/>
      <c r="C1040" s="49"/>
      <c r="D1040" s="49"/>
      <c r="E1040" s="50"/>
      <c r="F1040" s="51"/>
      <c r="G1040" s="49"/>
      <c r="H1040" s="49"/>
      <c r="I1040" s="49"/>
      <c r="J1040" s="49"/>
      <c r="K1040" s="49"/>
      <c r="L1040" s="49"/>
      <c r="M1040" s="49"/>
      <c r="N1040" s="49"/>
      <c r="O1040" s="49"/>
      <c r="P1040" s="49"/>
      <c r="Q1040" s="49"/>
      <c r="R1040" s="49"/>
      <c r="S1040" s="49"/>
    </row>
    <row r="1041" ht="13.5" customHeight="1" spans="1:19">
      <c r="A1041" s="49"/>
      <c r="C1041" s="49"/>
      <c r="D1041" s="49"/>
      <c r="E1041" s="50"/>
      <c r="F1041" s="51"/>
      <c r="G1041" s="49"/>
      <c r="H1041" s="49"/>
      <c r="I1041" s="49"/>
      <c r="J1041" s="49"/>
      <c r="K1041" s="49"/>
      <c r="L1041" s="49"/>
      <c r="M1041" s="49"/>
      <c r="N1041" s="49"/>
      <c r="O1041" s="49"/>
      <c r="P1041" s="49"/>
      <c r="Q1041" s="49"/>
      <c r="R1041" s="49"/>
      <c r="S1041" s="49"/>
    </row>
    <row r="1042" ht="13.5" customHeight="1" spans="1:19">
      <c r="A1042" s="49"/>
      <c r="C1042" s="49"/>
      <c r="D1042" s="49"/>
      <c r="E1042" s="50"/>
      <c r="F1042" s="51"/>
      <c r="G1042" s="49"/>
      <c r="H1042" s="49"/>
      <c r="I1042" s="49"/>
      <c r="J1042" s="49"/>
      <c r="K1042" s="49"/>
      <c r="L1042" s="49"/>
      <c r="M1042" s="49"/>
      <c r="N1042" s="49"/>
      <c r="O1042" s="49"/>
      <c r="P1042" s="49"/>
      <c r="Q1042" s="49"/>
      <c r="R1042" s="49"/>
      <c r="S1042" s="49"/>
    </row>
    <row r="1043" ht="13.5" customHeight="1" spans="1:19">
      <c r="A1043" s="49"/>
      <c r="C1043" s="49"/>
      <c r="D1043" s="49"/>
      <c r="E1043" s="50"/>
      <c r="F1043" s="51"/>
      <c r="G1043" s="49"/>
      <c r="H1043" s="49"/>
      <c r="I1043" s="49"/>
      <c r="J1043" s="49"/>
      <c r="K1043" s="49"/>
      <c r="L1043" s="49"/>
      <c r="M1043" s="49"/>
      <c r="N1043" s="49"/>
      <c r="O1043" s="49"/>
      <c r="P1043" s="49"/>
      <c r="Q1043" s="49"/>
      <c r="R1043" s="49"/>
      <c r="S1043" s="49"/>
    </row>
    <row r="1044" ht="13.5" customHeight="1" spans="1:19">
      <c r="A1044" s="49"/>
      <c r="C1044" s="49"/>
      <c r="D1044" s="49"/>
      <c r="E1044" s="50"/>
      <c r="F1044" s="51"/>
      <c r="G1044" s="49"/>
      <c r="H1044" s="49"/>
      <c r="I1044" s="49"/>
      <c r="J1044" s="49"/>
      <c r="K1044" s="49"/>
      <c r="L1044" s="49"/>
      <c r="M1044" s="49"/>
      <c r="N1044" s="49"/>
      <c r="O1044" s="49"/>
      <c r="P1044" s="49"/>
      <c r="Q1044" s="49"/>
      <c r="R1044" s="49"/>
      <c r="S1044" s="49"/>
    </row>
    <row r="1045" ht="13.5" customHeight="1" spans="1:19">
      <c r="A1045" s="49"/>
      <c r="C1045" s="49"/>
      <c r="D1045" s="49"/>
      <c r="E1045" s="50"/>
      <c r="F1045" s="51"/>
      <c r="G1045" s="49"/>
      <c r="H1045" s="49"/>
      <c r="I1045" s="49"/>
      <c r="J1045" s="49"/>
      <c r="K1045" s="49"/>
      <c r="L1045" s="49"/>
      <c r="M1045" s="49"/>
      <c r="N1045" s="49"/>
      <c r="O1045" s="49"/>
      <c r="P1045" s="49"/>
      <c r="Q1045" s="49"/>
      <c r="R1045" s="49"/>
      <c r="S1045" s="49"/>
    </row>
    <row r="1046" ht="13.5" customHeight="1" spans="1:19">
      <c r="A1046" s="49"/>
      <c r="C1046" s="49"/>
      <c r="D1046" s="49"/>
      <c r="E1046" s="50"/>
      <c r="F1046" s="51"/>
      <c r="G1046" s="49"/>
      <c r="H1046" s="49"/>
      <c r="I1046" s="49"/>
      <c r="J1046" s="49"/>
      <c r="K1046" s="49"/>
      <c r="L1046" s="49"/>
      <c r="M1046" s="49"/>
      <c r="N1046" s="49"/>
      <c r="O1046" s="49"/>
      <c r="P1046" s="49"/>
      <c r="Q1046" s="49"/>
      <c r="R1046" s="49"/>
      <c r="S1046" s="49"/>
    </row>
    <row r="1047" ht="13.5" customHeight="1" spans="1:19">
      <c r="A1047" s="49"/>
      <c r="C1047" s="49"/>
      <c r="D1047" s="49"/>
      <c r="E1047" s="50"/>
      <c r="F1047" s="51"/>
      <c r="G1047" s="49"/>
      <c r="H1047" s="49"/>
      <c r="I1047" s="49"/>
      <c r="J1047" s="49"/>
      <c r="K1047" s="49"/>
      <c r="L1047" s="49"/>
      <c r="M1047" s="49"/>
      <c r="N1047" s="49"/>
      <c r="O1047" s="49"/>
      <c r="P1047" s="49"/>
      <c r="Q1047" s="49"/>
      <c r="R1047" s="49"/>
      <c r="S1047" s="49"/>
    </row>
    <row r="1048" ht="13.5" customHeight="1" spans="1:19">
      <c r="A1048" s="49"/>
      <c r="C1048" s="49"/>
      <c r="D1048" s="49"/>
      <c r="E1048" s="50"/>
      <c r="F1048" s="51"/>
      <c r="G1048" s="49"/>
      <c r="H1048" s="49"/>
      <c r="I1048" s="49"/>
      <c r="J1048" s="49"/>
      <c r="K1048" s="49"/>
      <c r="L1048" s="49"/>
      <c r="M1048" s="49"/>
      <c r="N1048" s="49"/>
      <c r="O1048" s="49"/>
      <c r="P1048" s="49"/>
      <c r="Q1048" s="49"/>
      <c r="R1048" s="49"/>
      <c r="S1048" s="49"/>
    </row>
    <row r="1049" ht="13.5" customHeight="1" spans="1:19">
      <c r="A1049" s="49"/>
      <c r="C1049" s="49"/>
      <c r="D1049" s="49"/>
      <c r="E1049" s="50"/>
      <c r="F1049" s="51"/>
      <c r="G1049" s="49"/>
      <c r="H1049" s="49"/>
      <c r="I1049" s="49"/>
      <c r="J1049" s="49"/>
      <c r="K1049" s="49"/>
      <c r="L1049" s="49"/>
      <c r="M1049" s="49"/>
      <c r="N1049" s="49"/>
      <c r="O1049" s="49"/>
      <c r="P1049" s="49"/>
      <c r="Q1049" s="49"/>
      <c r="R1049" s="49"/>
      <c r="S1049" s="49"/>
    </row>
    <row r="1050" ht="13.5" customHeight="1" spans="1:19">
      <c r="A1050" s="49"/>
      <c r="C1050" s="49"/>
      <c r="D1050" s="49"/>
      <c r="E1050" s="50"/>
      <c r="F1050" s="51"/>
      <c r="G1050" s="49"/>
      <c r="H1050" s="49"/>
      <c r="I1050" s="49"/>
      <c r="J1050" s="49"/>
      <c r="K1050" s="49"/>
      <c r="L1050" s="49"/>
      <c r="M1050" s="49"/>
      <c r="N1050" s="49"/>
      <c r="O1050" s="49"/>
      <c r="P1050" s="49"/>
      <c r="Q1050" s="49"/>
      <c r="R1050" s="49"/>
      <c r="S1050" s="49"/>
    </row>
    <row r="1051" ht="13.5" customHeight="1" spans="1:19">
      <c r="A1051" s="49"/>
      <c r="C1051" s="49"/>
      <c r="D1051" s="49"/>
      <c r="E1051" s="50"/>
      <c r="F1051" s="51"/>
      <c r="G1051" s="49"/>
      <c r="H1051" s="49"/>
      <c r="I1051" s="49"/>
      <c r="J1051" s="49"/>
      <c r="K1051" s="49"/>
      <c r="L1051" s="49"/>
      <c r="M1051" s="49"/>
      <c r="N1051" s="49"/>
      <c r="O1051" s="49"/>
      <c r="P1051" s="49"/>
      <c r="Q1051" s="49"/>
      <c r="R1051" s="49"/>
      <c r="S1051" s="49"/>
    </row>
    <row r="1052" ht="13.5" customHeight="1" spans="1:19">
      <c r="A1052" s="49"/>
      <c r="C1052" s="49"/>
      <c r="D1052" s="49"/>
      <c r="E1052" s="50"/>
      <c r="F1052" s="51"/>
      <c r="G1052" s="49"/>
      <c r="H1052" s="49"/>
      <c r="I1052" s="49"/>
      <c r="J1052" s="49"/>
      <c r="K1052" s="49"/>
      <c r="L1052" s="49"/>
      <c r="M1052" s="49"/>
      <c r="N1052" s="49"/>
      <c r="O1052" s="49"/>
      <c r="P1052" s="49"/>
      <c r="Q1052" s="49"/>
      <c r="R1052" s="49"/>
      <c r="S1052" s="49"/>
    </row>
    <row r="1053" ht="13.5" customHeight="1" spans="1:19">
      <c r="A1053" s="49"/>
      <c r="C1053" s="49"/>
      <c r="D1053" s="49"/>
      <c r="E1053" s="50"/>
      <c r="F1053" s="51"/>
      <c r="G1053" s="49"/>
      <c r="H1053" s="49"/>
      <c r="I1053" s="49"/>
      <c r="J1053" s="49"/>
      <c r="K1053" s="49"/>
      <c r="L1053" s="49"/>
      <c r="M1053" s="49"/>
      <c r="N1053" s="49"/>
      <c r="O1053" s="49"/>
      <c r="P1053" s="49"/>
      <c r="Q1053" s="49"/>
      <c r="R1053" s="49"/>
      <c r="S1053" s="49"/>
    </row>
    <row r="1054" ht="13.5" customHeight="1" spans="1:19">
      <c r="A1054" s="49"/>
      <c r="C1054" s="49"/>
      <c r="D1054" s="49"/>
      <c r="E1054" s="50"/>
      <c r="F1054" s="51"/>
      <c r="G1054" s="49"/>
      <c r="H1054" s="49"/>
      <c r="I1054" s="49"/>
      <c r="J1054" s="49"/>
      <c r="K1054" s="49"/>
      <c r="L1054" s="49"/>
      <c r="M1054" s="49"/>
      <c r="N1054" s="49"/>
      <c r="O1054" s="49"/>
      <c r="P1054" s="49"/>
      <c r="Q1054" s="49"/>
      <c r="R1054" s="49"/>
      <c r="S1054" s="49"/>
    </row>
    <row r="1055" ht="13.5" customHeight="1" spans="1:19">
      <c r="A1055" s="49"/>
      <c r="C1055" s="49"/>
      <c r="D1055" s="49"/>
      <c r="E1055" s="50"/>
      <c r="F1055" s="51"/>
      <c r="G1055" s="49"/>
      <c r="H1055" s="49"/>
      <c r="I1055" s="49"/>
      <c r="J1055" s="49"/>
      <c r="K1055" s="49"/>
      <c r="L1055" s="49"/>
      <c r="M1055" s="49"/>
      <c r="N1055" s="49"/>
      <c r="O1055" s="49"/>
      <c r="P1055" s="49"/>
      <c r="Q1055" s="49"/>
      <c r="R1055" s="49"/>
      <c r="S1055" s="49"/>
    </row>
    <row r="1056" ht="13.5" customHeight="1" spans="1:19">
      <c r="A1056" s="49"/>
      <c r="C1056" s="49"/>
      <c r="D1056" s="49"/>
      <c r="E1056" s="50"/>
      <c r="F1056" s="51"/>
      <c r="G1056" s="49"/>
      <c r="H1056" s="49"/>
      <c r="I1056" s="49"/>
      <c r="J1056" s="49"/>
      <c r="K1056" s="49"/>
      <c r="L1056" s="49"/>
      <c r="M1056" s="49"/>
      <c r="N1056" s="49"/>
      <c r="O1056" s="49"/>
      <c r="P1056" s="49"/>
      <c r="Q1056" s="49"/>
      <c r="R1056" s="49"/>
      <c r="S1056" s="49"/>
    </row>
    <row r="1057" ht="13.5" customHeight="1" spans="1:19">
      <c r="A1057" s="49"/>
      <c r="C1057" s="49"/>
      <c r="D1057" s="49"/>
      <c r="E1057" s="50"/>
      <c r="F1057" s="51"/>
      <c r="G1057" s="49"/>
      <c r="H1057" s="49"/>
      <c r="I1057" s="49"/>
      <c r="J1057" s="49"/>
      <c r="K1057" s="49"/>
      <c r="L1057" s="49"/>
      <c r="M1057" s="49"/>
      <c r="N1057" s="49"/>
      <c r="O1057" s="49"/>
      <c r="P1057" s="49"/>
      <c r="Q1057" s="49"/>
      <c r="R1057" s="49"/>
      <c r="S1057" s="49"/>
    </row>
    <row r="1058" ht="13.5" customHeight="1" spans="1:19">
      <c r="A1058" s="49"/>
      <c r="C1058" s="49"/>
      <c r="D1058" s="49"/>
      <c r="E1058" s="50"/>
      <c r="F1058" s="51"/>
      <c r="G1058" s="49"/>
      <c r="H1058" s="49"/>
      <c r="I1058" s="49"/>
      <c r="J1058" s="49"/>
      <c r="K1058" s="49"/>
      <c r="L1058" s="49"/>
      <c r="M1058" s="49"/>
      <c r="N1058" s="49"/>
      <c r="O1058" s="49"/>
      <c r="P1058" s="49"/>
      <c r="Q1058" s="49"/>
      <c r="R1058" s="49"/>
      <c r="S1058" s="49"/>
    </row>
    <row r="1059" ht="13.5" customHeight="1" spans="1:19">
      <c r="A1059" s="49"/>
      <c r="C1059" s="49"/>
      <c r="D1059" s="49"/>
      <c r="E1059" s="50"/>
      <c r="F1059" s="51"/>
      <c r="G1059" s="49"/>
      <c r="H1059" s="49"/>
      <c r="I1059" s="49"/>
      <c r="J1059" s="49"/>
      <c r="K1059" s="49"/>
      <c r="L1059" s="49"/>
      <c r="M1059" s="49"/>
      <c r="N1059" s="49"/>
      <c r="O1059" s="49"/>
      <c r="P1059" s="49"/>
      <c r="Q1059" s="49"/>
      <c r="R1059" s="49"/>
      <c r="S1059" s="49"/>
    </row>
    <row r="1060" ht="13.5" customHeight="1" spans="1:19">
      <c r="A1060" s="49"/>
      <c r="C1060" s="49"/>
      <c r="D1060" s="49"/>
      <c r="E1060" s="50"/>
      <c r="F1060" s="51"/>
      <c r="G1060" s="49"/>
      <c r="H1060" s="49"/>
      <c r="I1060" s="49"/>
      <c r="J1060" s="49"/>
      <c r="K1060" s="49"/>
      <c r="L1060" s="49"/>
      <c r="M1060" s="49"/>
      <c r="N1060" s="49"/>
      <c r="O1060" s="49"/>
      <c r="P1060" s="49"/>
      <c r="Q1060" s="49"/>
      <c r="R1060" s="49"/>
      <c r="S1060" s="49"/>
    </row>
    <row r="1061" ht="13.5" customHeight="1" spans="1:19">
      <c r="A1061" s="49"/>
      <c r="C1061" s="49"/>
      <c r="D1061" s="49"/>
      <c r="E1061" s="50"/>
      <c r="F1061" s="51"/>
      <c r="G1061" s="49"/>
      <c r="H1061" s="49"/>
      <c r="I1061" s="49"/>
      <c r="J1061" s="49"/>
      <c r="K1061" s="49"/>
      <c r="L1061" s="49"/>
      <c r="M1061" s="49"/>
      <c r="N1061" s="49"/>
      <c r="O1061" s="49"/>
      <c r="P1061" s="49"/>
      <c r="Q1061" s="49"/>
      <c r="R1061" s="49"/>
      <c r="S1061" s="49"/>
    </row>
    <row r="1062" ht="13.5" customHeight="1" spans="1:19">
      <c r="A1062" s="49"/>
      <c r="C1062" s="49"/>
      <c r="D1062" s="49"/>
      <c r="E1062" s="50"/>
      <c r="F1062" s="51"/>
      <c r="G1062" s="49"/>
      <c r="H1062" s="49"/>
      <c r="I1062" s="49"/>
      <c r="J1062" s="49"/>
      <c r="K1062" s="49"/>
      <c r="L1062" s="49"/>
      <c r="M1062" s="49"/>
      <c r="N1062" s="49"/>
      <c r="O1062" s="49"/>
      <c r="P1062" s="49"/>
      <c r="Q1062" s="49"/>
      <c r="R1062" s="49"/>
      <c r="S1062" s="49"/>
    </row>
    <row r="1063" ht="13.5" customHeight="1" spans="1:19">
      <c r="A1063" s="49"/>
      <c r="C1063" s="49"/>
      <c r="D1063" s="49"/>
      <c r="E1063" s="50"/>
      <c r="F1063" s="51"/>
      <c r="G1063" s="49"/>
      <c r="H1063" s="49"/>
      <c r="I1063" s="49"/>
      <c r="J1063" s="49"/>
      <c r="K1063" s="49"/>
      <c r="L1063" s="49"/>
      <c r="M1063" s="49"/>
      <c r="N1063" s="49"/>
      <c r="O1063" s="49"/>
      <c r="P1063" s="49"/>
      <c r="Q1063" s="49"/>
      <c r="R1063" s="49"/>
      <c r="S1063" s="49"/>
    </row>
    <row r="1064" ht="13.5" customHeight="1" spans="1:19">
      <c r="A1064" s="49"/>
      <c r="C1064" s="49"/>
      <c r="D1064" s="49"/>
      <c r="E1064" s="50"/>
      <c r="F1064" s="51"/>
      <c r="G1064" s="49"/>
      <c r="H1064" s="49"/>
      <c r="I1064" s="49"/>
      <c r="J1064" s="49"/>
      <c r="K1064" s="49"/>
      <c r="L1064" s="49"/>
      <c r="M1064" s="49"/>
      <c r="N1064" s="49"/>
      <c r="O1064" s="49"/>
      <c r="P1064" s="49"/>
      <c r="Q1064" s="49"/>
      <c r="R1064" s="49"/>
      <c r="S1064" s="49"/>
    </row>
    <row r="1065" ht="13.5" customHeight="1" spans="1:19">
      <c r="A1065" s="49"/>
      <c r="C1065" s="49"/>
      <c r="D1065" s="49"/>
      <c r="E1065" s="50"/>
      <c r="F1065" s="51"/>
      <c r="G1065" s="49"/>
      <c r="H1065" s="49"/>
      <c r="I1065" s="49"/>
      <c r="J1065" s="49"/>
      <c r="K1065" s="49"/>
      <c r="L1065" s="49"/>
      <c r="M1065" s="49"/>
      <c r="N1065" s="49"/>
      <c r="O1065" s="49"/>
      <c r="P1065" s="49"/>
      <c r="Q1065" s="49"/>
      <c r="R1065" s="49"/>
      <c r="S1065" s="49"/>
    </row>
    <row r="1066" ht="13.5" customHeight="1" spans="1:19">
      <c r="A1066" s="49"/>
      <c r="C1066" s="49"/>
      <c r="D1066" s="49"/>
      <c r="E1066" s="50"/>
      <c r="F1066" s="51"/>
      <c r="G1066" s="49"/>
      <c r="H1066" s="49"/>
      <c r="I1066" s="49"/>
      <c r="J1066" s="49"/>
      <c r="K1066" s="49"/>
      <c r="L1066" s="49"/>
      <c r="M1066" s="49"/>
      <c r="N1066" s="49"/>
      <c r="O1066" s="49"/>
      <c r="P1066" s="49"/>
      <c r="Q1066" s="49"/>
      <c r="R1066" s="49"/>
      <c r="S1066" s="49"/>
    </row>
    <row r="1067" ht="13.5" customHeight="1" spans="1:19">
      <c r="A1067" s="49"/>
      <c r="C1067" s="49"/>
      <c r="D1067" s="49"/>
      <c r="E1067" s="50"/>
      <c r="F1067" s="51"/>
      <c r="G1067" s="49"/>
      <c r="H1067" s="49"/>
      <c r="I1067" s="49"/>
      <c r="J1067" s="49"/>
      <c r="K1067" s="49"/>
      <c r="L1067" s="49"/>
      <c r="M1067" s="49"/>
      <c r="N1067" s="49"/>
      <c r="O1067" s="49"/>
      <c r="P1067" s="49"/>
      <c r="Q1067" s="49"/>
      <c r="R1067" s="49"/>
      <c r="S1067" s="49"/>
    </row>
    <row r="1068" ht="13.5" customHeight="1" spans="1:19">
      <c r="A1068" s="49"/>
      <c r="C1068" s="49"/>
      <c r="D1068" s="49"/>
      <c r="E1068" s="50"/>
      <c r="F1068" s="51"/>
      <c r="G1068" s="49"/>
      <c r="H1068" s="49"/>
      <c r="I1068" s="49"/>
      <c r="J1068" s="49"/>
      <c r="K1068" s="49"/>
      <c r="L1068" s="49"/>
      <c r="M1068" s="49"/>
      <c r="N1068" s="49"/>
      <c r="O1068" s="49"/>
      <c r="P1068" s="49"/>
      <c r="Q1068" s="49"/>
      <c r="R1068" s="49"/>
      <c r="S1068" s="49"/>
    </row>
    <row r="1069" ht="13.5" customHeight="1" spans="1:19">
      <c r="A1069" s="49"/>
      <c r="C1069" s="49"/>
      <c r="D1069" s="49"/>
      <c r="E1069" s="50"/>
      <c r="F1069" s="51"/>
      <c r="G1069" s="49"/>
      <c r="H1069" s="49"/>
      <c r="I1069" s="49"/>
      <c r="J1069" s="49"/>
      <c r="K1069" s="49"/>
      <c r="L1069" s="49"/>
      <c r="M1069" s="49"/>
      <c r="N1069" s="49"/>
      <c r="O1069" s="49"/>
      <c r="P1069" s="49"/>
      <c r="Q1069" s="49"/>
      <c r="R1069" s="49"/>
      <c r="S1069" s="49"/>
    </row>
    <row r="1070" ht="13.5" customHeight="1" spans="1:19">
      <c r="A1070" s="49"/>
      <c r="C1070" s="49"/>
      <c r="D1070" s="49"/>
      <c r="E1070" s="50"/>
      <c r="F1070" s="51"/>
      <c r="G1070" s="49"/>
      <c r="H1070" s="49"/>
      <c r="I1070" s="49"/>
      <c r="J1070" s="49"/>
      <c r="K1070" s="49"/>
      <c r="L1070" s="49"/>
      <c r="M1070" s="49"/>
      <c r="N1070" s="49"/>
      <c r="O1070" s="49"/>
      <c r="P1070" s="49"/>
      <c r="Q1070" s="49"/>
      <c r="R1070" s="49"/>
      <c r="S1070" s="49"/>
    </row>
    <row r="1071" ht="13.5" customHeight="1" spans="1:19">
      <c r="A1071" s="49"/>
      <c r="C1071" s="49"/>
      <c r="D1071" s="49"/>
      <c r="E1071" s="50"/>
      <c r="F1071" s="51"/>
      <c r="G1071" s="49"/>
      <c r="H1071" s="49"/>
      <c r="I1071" s="49"/>
      <c r="J1071" s="49"/>
      <c r="K1071" s="49"/>
      <c r="L1071" s="49"/>
      <c r="M1071" s="49"/>
      <c r="N1071" s="49"/>
      <c r="O1071" s="49"/>
      <c r="P1071" s="49"/>
      <c r="Q1071" s="49"/>
      <c r="R1071" s="49"/>
      <c r="S1071" s="49"/>
    </row>
    <row r="1072" ht="13.5" customHeight="1" spans="1:19">
      <c r="A1072" s="49"/>
      <c r="C1072" s="49"/>
      <c r="D1072" s="49"/>
      <c r="E1072" s="50"/>
      <c r="F1072" s="51"/>
      <c r="G1072" s="49"/>
      <c r="H1072" s="49"/>
      <c r="I1072" s="49"/>
      <c r="J1072" s="49"/>
      <c r="K1072" s="49"/>
      <c r="L1072" s="49"/>
      <c r="M1072" s="49"/>
      <c r="N1072" s="49"/>
      <c r="O1072" s="49"/>
      <c r="P1072" s="49"/>
      <c r="Q1072" s="49"/>
      <c r="R1072" s="49"/>
      <c r="S1072" s="49"/>
    </row>
    <row r="1073" ht="13.5" customHeight="1" spans="1:19">
      <c r="A1073" s="49"/>
      <c r="C1073" s="49"/>
      <c r="D1073" s="49"/>
      <c r="E1073" s="50"/>
      <c r="F1073" s="51"/>
      <c r="G1073" s="49"/>
      <c r="H1073" s="49"/>
      <c r="I1073" s="49"/>
      <c r="J1073" s="49"/>
      <c r="K1073" s="49"/>
      <c r="L1073" s="49"/>
      <c r="M1073" s="49"/>
      <c r="N1073" s="49"/>
      <c r="O1073" s="49"/>
      <c r="P1073" s="49"/>
      <c r="Q1073" s="49"/>
      <c r="R1073" s="49"/>
      <c r="S1073" s="49"/>
    </row>
    <row r="1074" ht="13.5" customHeight="1" spans="1:19">
      <c r="A1074" s="49"/>
      <c r="C1074" s="49"/>
      <c r="D1074" s="49"/>
      <c r="E1074" s="50"/>
      <c r="F1074" s="51"/>
      <c r="G1074" s="49"/>
      <c r="H1074" s="49"/>
      <c r="I1074" s="49"/>
      <c r="J1074" s="49"/>
      <c r="K1074" s="49"/>
      <c r="L1074" s="49"/>
      <c r="M1074" s="49"/>
      <c r="N1074" s="49"/>
      <c r="O1074" s="49"/>
      <c r="P1074" s="49"/>
      <c r="Q1074" s="49"/>
      <c r="R1074" s="49"/>
      <c r="S1074" s="49"/>
    </row>
    <row r="1075" ht="13.5" customHeight="1" spans="1:19">
      <c r="A1075" s="49"/>
      <c r="C1075" s="49"/>
      <c r="D1075" s="49"/>
      <c r="E1075" s="50"/>
      <c r="F1075" s="51"/>
      <c r="G1075" s="49"/>
      <c r="H1075" s="49"/>
      <c r="I1075" s="49"/>
      <c r="J1075" s="49"/>
      <c r="K1075" s="49"/>
      <c r="L1075" s="49"/>
      <c r="M1075" s="49"/>
      <c r="N1075" s="49"/>
      <c r="O1075" s="49"/>
      <c r="P1075" s="49"/>
      <c r="Q1075" s="49"/>
      <c r="R1075" s="49"/>
      <c r="S1075" s="49"/>
    </row>
    <row r="1076" ht="13.5" customHeight="1" spans="1:19">
      <c r="A1076" s="49"/>
      <c r="C1076" s="49"/>
      <c r="D1076" s="49"/>
      <c r="E1076" s="50"/>
      <c r="F1076" s="51"/>
      <c r="G1076" s="49"/>
      <c r="H1076" s="49"/>
      <c r="I1076" s="49"/>
      <c r="J1076" s="49"/>
      <c r="K1076" s="49"/>
      <c r="L1076" s="49"/>
      <c r="M1076" s="49"/>
      <c r="N1076" s="49"/>
      <c r="O1076" s="49"/>
      <c r="P1076" s="49"/>
      <c r="Q1076" s="49"/>
      <c r="R1076" s="49"/>
      <c r="S1076" s="49"/>
    </row>
    <row r="1077" ht="13.5" customHeight="1" spans="1:19">
      <c r="A1077" s="49"/>
      <c r="C1077" s="49"/>
      <c r="D1077" s="49"/>
      <c r="E1077" s="50"/>
      <c r="F1077" s="51"/>
      <c r="G1077" s="49"/>
      <c r="H1077" s="49"/>
      <c r="I1077" s="49"/>
      <c r="J1077" s="49"/>
      <c r="K1077" s="49"/>
      <c r="L1077" s="49"/>
      <c r="M1077" s="49"/>
      <c r="N1077" s="49"/>
      <c r="O1077" s="49"/>
      <c r="P1077" s="49"/>
      <c r="Q1077" s="49"/>
      <c r="R1077" s="49"/>
      <c r="S1077" s="49"/>
    </row>
    <row r="1078" ht="13.5" customHeight="1" spans="1:19">
      <c r="A1078" s="49"/>
      <c r="C1078" s="49"/>
      <c r="D1078" s="49"/>
      <c r="E1078" s="50"/>
      <c r="F1078" s="51"/>
      <c r="G1078" s="49"/>
      <c r="H1078" s="49"/>
      <c r="I1078" s="49"/>
      <c r="J1078" s="49"/>
      <c r="K1078" s="49"/>
      <c r="L1078" s="49"/>
      <c r="M1078" s="49"/>
      <c r="N1078" s="49"/>
      <c r="O1078" s="49"/>
      <c r="P1078" s="49"/>
      <c r="Q1078" s="49"/>
      <c r="R1078" s="49"/>
      <c r="S1078" s="49"/>
    </row>
    <row r="1079" ht="13.5" customHeight="1" spans="1:19">
      <c r="A1079" s="49"/>
      <c r="C1079" s="49"/>
      <c r="D1079" s="49"/>
      <c r="E1079" s="50"/>
      <c r="F1079" s="51"/>
      <c r="G1079" s="49"/>
      <c r="H1079" s="49"/>
      <c r="I1079" s="49"/>
      <c r="J1079" s="49"/>
      <c r="K1079" s="49"/>
      <c r="L1079" s="49"/>
      <c r="M1079" s="49"/>
      <c r="N1079" s="49"/>
      <c r="O1079" s="49"/>
      <c r="P1079" s="49"/>
      <c r="Q1079" s="49"/>
      <c r="R1079" s="49"/>
      <c r="S1079" s="49"/>
    </row>
    <row r="1080" ht="13.5" customHeight="1" spans="1:19">
      <c r="A1080" s="49"/>
      <c r="C1080" s="49"/>
      <c r="D1080" s="49"/>
      <c r="E1080" s="50"/>
      <c r="F1080" s="51"/>
      <c r="G1080" s="49"/>
      <c r="H1080" s="49"/>
      <c r="I1080" s="49"/>
      <c r="J1080" s="49"/>
      <c r="K1080" s="49"/>
      <c r="L1080" s="49"/>
      <c r="M1080" s="49"/>
      <c r="N1080" s="49"/>
      <c r="O1080" s="49"/>
      <c r="P1080" s="49"/>
      <c r="Q1080" s="49"/>
      <c r="R1080" s="49"/>
      <c r="S1080" s="49"/>
    </row>
    <row r="1081" ht="13.5" customHeight="1" spans="1:19">
      <c r="A1081" s="49"/>
      <c r="C1081" s="49"/>
      <c r="D1081" s="49"/>
      <c r="E1081" s="50"/>
      <c r="F1081" s="51"/>
      <c r="G1081" s="49"/>
      <c r="H1081" s="49"/>
      <c r="I1081" s="49"/>
      <c r="J1081" s="49"/>
      <c r="K1081" s="49"/>
      <c r="L1081" s="49"/>
      <c r="M1081" s="49"/>
      <c r="N1081" s="49"/>
      <c r="O1081" s="49"/>
      <c r="P1081" s="49"/>
      <c r="Q1081" s="49"/>
      <c r="R1081" s="49"/>
      <c r="S1081" s="49"/>
    </row>
    <row r="1082" ht="13.5" customHeight="1" spans="1:19">
      <c r="A1082" s="49"/>
      <c r="C1082" s="49"/>
      <c r="D1082" s="49"/>
      <c r="E1082" s="50"/>
      <c r="F1082" s="51"/>
      <c r="G1082" s="49"/>
      <c r="H1082" s="49"/>
      <c r="I1082" s="49"/>
      <c r="J1082" s="49"/>
      <c r="K1082" s="49"/>
      <c r="L1082" s="49"/>
      <c r="M1082" s="49"/>
      <c r="N1082" s="49"/>
      <c r="O1082" s="49"/>
      <c r="P1082" s="49"/>
      <c r="Q1082" s="49"/>
      <c r="R1082" s="49"/>
      <c r="S1082" s="49"/>
    </row>
    <row r="1083" ht="13.5" customHeight="1" spans="1:19">
      <c r="A1083" s="49"/>
      <c r="C1083" s="49"/>
      <c r="D1083" s="49"/>
      <c r="E1083" s="50"/>
      <c r="F1083" s="51"/>
      <c r="G1083" s="49"/>
      <c r="H1083" s="49"/>
      <c r="I1083" s="49"/>
      <c r="J1083" s="49"/>
      <c r="K1083" s="49"/>
      <c r="L1083" s="49"/>
      <c r="M1083" s="49"/>
      <c r="N1083" s="49"/>
      <c r="O1083" s="49"/>
      <c r="P1083" s="49"/>
      <c r="Q1083" s="49"/>
      <c r="R1083" s="49"/>
      <c r="S1083" s="49"/>
    </row>
    <row r="1084" ht="13.5" customHeight="1" spans="1:19">
      <c r="A1084" s="49"/>
      <c r="C1084" s="49"/>
      <c r="D1084" s="49"/>
      <c r="E1084" s="50"/>
      <c r="F1084" s="51"/>
      <c r="G1084" s="49"/>
      <c r="H1084" s="49"/>
      <c r="I1084" s="49"/>
      <c r="J1084" s="49"/>
      <c r="K1084" s="49"/>
      <c r="L1084" s="49"/>
      <c r="M1084" s="49"/>
      <c r="N1084" s="49"/>
      <c r="O1084" s="49"/>
      <c r="P1084" s="49"/>
      <c r="Q1084" s="49"/>
      <c r="R1084" s="49"/>
      <c r="S1084" s="49"/>
    </row>
    <row r="1085" ht="13.5" customHeight="1" spans="1:19">
      <c r="A1085" s="49"/>
      <c r="C1085" s="49"/>
      <c r="D1085" s="49"/>
      <c r="E1085" s="50"/>
      <c r="F1085" s="51"/>
      <c r="G1085" s="49"/>
      <c r="H1085" s="49"/>
      <c r="I1085" s="49"/>
      <c r="J1085" s="49"/>
      <c r="K1085" s="49"/>
      <c r="L1085" s="49"/>
      <c r="M1085" s="49"/>
      <c r="N1085" s="49"/>
      <c r="O1085" s="49"/>
      <c r="P1085" s="49"/>
      <c r="Q1085" s="49"/>
      <c r="R1085" s="49"/>
      <c r="S1085" s="49"/>
    </row>
    <row r="1086" ht="13.5" customHeight="1" spans="1:19">
      <c r="A1086" s="49"/>
      <c r="C1086" s="49"/>
      <c r="D1086" s="49"/>
      <c r="E1086" s="50"/>
      <c r="F1086" s="51"/>
      <c r="G1086" s="49"/>
      <c r="H1086" s="49"/>
      <c r="I1086" s="49"/>
      <c r="J1086" s="49"/>
      <c r="K1086" s="49"/>
      <c r="L1086" s="49"/>
      <c r="M1086" s="49"/>
      <c r="N1086" s="49"/>
      <c r="O1086" s="49"/>
      <c r="P1086" s="49"/>
      <c r="Q1086" s="49"/>
      <c r="R1086" s="49"/>
      <c r="S1086" s="49"/>
    </row>
    <row r="1087" ht="13.5" customHeight="1" spans="1:19">
      <c r="A1087" s="49"/>
      <c r="C1087" s="49"/>
      <c r="D1087" s="49"/>
      <c r="E1087" s="50"/>
      <c r="F1087" s="51"/>
      <c r="G1087" s="49"/>
      <c r="H1087" s="49"/>
      <c r="I1087" s="49"/>
      <c r="J1087" s="49"/>
      <c r="K1087" s="49"/>
      <c r="L1087" s="49"/>
      <c r="M1087" s="49"/>
      <c r="N1087" s="49"/>
      <c r="O1087" s="49"/>
      <c r="P1087" s="49"/>
      <c r="Q1087" s="49"/>
      <c r="R1087" s="49"/>
      <c r="S1087" s="49"/>
    </row>
    <row r="1088" ht="13.5" customHeight="1" spans="1:19">
      <c r="A1088" s="49"/>
      <c r="C1088" s="49"/>
      <c r="D1088" s="49"/>
      <c r="E1088" s="50"/>
      <c r="F1088" s="51"/>
      <c r="G1088" s="49"/>
      <c r="H1088" s="49"/>
      <c r="I1088" s="49"/>
      <c r="J1088" s="49"/>
      <c r="K1088" s="49"/>
      <c r="L1088" s="49"/>
      <c r="M1088" s="49"/>
      <c r="N1088" s="49"/>
      <c r="O1088" s="49"/>
      <c r="P1088" s="49"/>
      <c r="Q1088" s="49"/>
      <c r="R1088" s="49"/>
      <c r="S1088" s="49"/>
    </row>
    <row r="1089" ht="13.5" customHeight="1" spans="1:19">
      <c r="A1089" s="49"/>
      <c r="C1089" s="49"/>
      <c r="D1089" s="49"/>
      <c r="E1089" s="50"/>
      <c r="F1089" s="51"/>
      <c r="G1089" s="49"/>
      <c r="H1089" s="49"/>
      <c r="I1089" s="49"/>
      <c r="J1089" s="49"/>
      <c r="K1089" s="49"/>
      <c r="L1089" s="49"/>
      <c r="M1089" s="49"/>
      <c r="N1089" s="49"/>
      <c r="O1089" s="49"/>
      <c r="P1089" s="49"/>
      <c r="Q1089" s="49"/>
      <c r="R1089" s="49"/>
      <c r="S1089" s="49"/>
    </row>
    <row r="1090" ht="13.5" customHeight="1" spans="1:19">
      <c r="A1090" s="49"/>
      <c r="C1090" s="49"/>
      <c r="D1090" s="49"/>
      <c r="E1090" s="50"/>
      <c r="F1090" s="51"/>
      <c r="G1090" s="49"/>
      <c r="H1090" s="49"/>
      <c r="I1090" s="49"/>
      <c r="J1090" s="49"/>
      <c r="K1090" s="49"/>
      <c r="L1090" s="49"/>
      <c r="M1090" s="49"/>
      <c r="N1090" s="49"/>
      <c r="O1090" s="49"/>
      <c r="P1090" s="49"/>
      <c r="Q1090" s="49"/>
      <c r="R1090" s="49"/>
      <c r="S1090" s="49"/>
    </row>
    <row r="1091" ht="13.5" customHeight="1" spans="1:19">
      <c r="A1091" s="49"/>
      <c r="C1091" s="49"/>
      <c r="D1091" s="49"/>
      <c r="E1091" s="50"/>
      <c r="F1091" s="51"/>
      <c r="G1091" s="49"/>
      <c r="H1091" s="49"/>
      <c r="I1091" s="49"/>
      <c r="J1091" s="49"/>
      <c r="K1091" s="49"/>
      <c r="L1091" s="49"/>
      <c r="M1091" s="49"/>
      <c r="N1091" s="49"/>
      <c r="O1091" s="49"/>
      <c r="P1091" s="49"/>
      <c r="Q1091" s="49"/>
      <c r="R1091" s="49"/>
      <c r="S1091" s="49"/>
    </row>
    <row r="1092" ht="13.5" customHeight="1" spans="1:19">
      <c r="A1092" s="49"/>
      <c r="C1092" s="49"/>
      <c r="D1092" s="49"/>
      <c r="E1092" s="50"/>
      <c r="F1092" s="51"/>
      <c r="G1092" s="49"/>
      <c r="H1092" s="49"/>
      <c r="I1092" s="49"/>
      <c r="J1092" s="49"/>
      <c r="K1092" s="49"/>
      <c r="L1092" s="49"/>
      <c r="M1092" s="49"/>
      <c r="N1092" s="49"/>
      <c r="O1092" s="49"/>
      <c r="P1092" s="49"/>
      <c r="Q1092" s="49"/>
      <c r="R1092" s="49"/>
      <c r="S1092" s="49"/>
    </row>
    <row r="1093" ht="13.5" customHeight="1" spans="1:19">
      <c r="A1093" s="49"/>
      <c r="C1093" s="49"/>
      <c r="D1093" s="49"/>
      <c r="E1093" s="50"/>
      <c r="F1093" s="51"/>
      <c r="G1093" s="49"/>
      <c r="H1093" s="49"/>
      <c r="I1093" s="49"/>
      <c r="J1093" s="49"/>
      <c r="K1093" s="49"/>
      <c r="L1093" s="49"/>
      <c r="M1093" s="49"/>
      <c r="N1093" s="49"/>
      <c r="O1093" s="49"/>
      <c r="P1093" s="49"/>
      <c r="Q1093" s="49"/>
      <c r="R1093" s="49"/>
      <c r="S1093" s="49"/>
    </row>
    <row r="1094" ht="13.5" customHeight="1" spans="1:19">
      <c r="A1094" s="49"/>
      <c r="C1094" s="49"/>
      <c r="D1094" s="49"/>
      <c r="E1094" s="50"/>
      <c r="F1094" s="51"/>
      <c r="G1094" s="49"/>
      <c r="H1094" s="49"/>
      <c r="I1094" s="49"/>
      <c r="J1094" s="49"/>
      <c r="K1094" s="49"/>
      <c r="L1094" s="49"/>
      <c r="M1094" s="49"/>
      <c r="N1094" s="49"/>
      <c r="O1094" s="49"/>
      <c r="P1094" s="49"/>
      <c r="Q1094" s="49"/>
      <c r="R1094" s="49"/>
      <c r="S1094" s="49"/>
    </row>
    <row r="1095" ht="13.5" customHeight="1" spans="1:19">
      <c r="A1095" s="49"/>
      <c r="C1095" s="49"/>
      <c r="D1095" s="49"/>
      <c r="E1095" s="50"/>
      <c r="F1095" s="51"/>
      <c r="G1095" s="49"/>
      <c r="H1095" s="49"/>
      <c r="I1095" s="49"/>
      <c r="J1095" s="49"/>
      <c r="K1095" s="49"/>
      <c r="L1095" s="49"/>
      <c r="M1095" s="49"/>
      <c r="N1095" s="49"/>
      <c r="O1095" s="49"/>
      <c r="P1095" s="49"/>
      <c r="Q1095" s="49"/>
      <c r="R1095" s="49"/>
      <c r="S1095" s="49"/>
    </row>
    <row r="1096" ht="13.5" customHeight="1" spans="1:19">
      <c r="A1096" s="49"/>
      <c r="C1096" s="49"/>
      <c r="D1096" s="49"/>
      <c r="E1096" s="50"/>
      <c r="F1096" s="51"/>
      <c r="G1096" s="49"/>
      <c r="H1096" s="49"/>
      <c r="I1096" s="49"/>
      <c r="J1096" s="49"/>
      <c r="K1096" s="49"/>
      <c r="L1096" s="49"/>
      <c r="M1096" s="49"/>
      <c r="N1096" s="49"/>
      <c r="O1096" s="49"/>
      <c r="P1096" s="49"/>
      <c r="Q1096" s="49"/>
      <c r="R1096" s="49"/>
      <c r="S1096" s="49"/>
    </row>
    <row r="1097" ht="13.5" customHeight="1" spans="1:19">
      <c r="A1097" s="49"/>
      <c r="C1097" s="49"/>
      <c r="D1097" s="49"/>
      <c r="E1097" s="50"/>
      <c r="F1097" s="51"/>
      <c r="G1097" s="49"/>
      <c r="H1097" s="49"/>
      <c r="I1097" s="49"/>
      <c r="J1097" s="49"/>
      <c r="K1097" s="49"/>
      <c r="L1097" s="49"/>
      <c r="M1097" s="49"/>
      <c r="N1097" s="49"/>
      <c r="O1097" s="49"/>
      <c r="P1097" s="49"/>
      <c r="Q1097" s="49"/>
      <c r="R1097" s="49"/>
      <c r="S1097" s="49"/>
    </row>
    <row r="1098" ht="13.5" customHeight="1" spans="1:19">
      <c r="A1098" s="49"/>
      <c r="C1098" s="49"/>
      <c r="D1098" s="49"/>
      <c r="E1098" s="50"/>
      <c r="F1098" s="51"/>
      <c r="G1098" s="49"/>
      <c r="H1098" s="49"/>
      <c r="I1098" s="49"/>
      <c r="J1098" s="49"/>
      <c r="K1098" s="49"/>
      <c r="L1098" s="49"/>
      <c r="M1098" s="49"/>
      <c r="N1098" s="49"/>
      <c r="O1098" s="49"/>
      <c r="P1098" s="49"/>
      <c r="Q1098" s="49"/>
      <c r="R1098" s="49"/>
      <c r="S1098" s="49"/>
    </row>
    <row r="1099" ht="13.5" customHeight="1" spans="1:19">
      <c r="A1099" s="49"/>
      <c r="C1099" s="49"/>
      <c r="D1099" s="49"/>
      <c r="E1099" s="50"/>
      <c r="F1099" s="51"/>
      <c r="G1099" s="49"/>
      <c r="H1099" s="49"/>
      <c r="I1099" s="49"/>
      <c r="J1099" s="49"/>
      <c r="K1099" s="49"/>
      <c r="L1099" s="49"/>
      <c r="M1099" s="49"/>
      <c r="N1099" s="49"/>
      <c r="O1099" s="49"/>
      <c r="P1099" s="49"/>
      <c r="Q1099" s="49"/>
      <c r="R1099" s="49"/>
      <c r="S1099" s="49"/>
    </row>
    <row r="1100" ht="13.5" customHeight="1" spans="1:19">
      <c r="A1100" s="49"/>
      <c r="C1100" s="49"/>
      <c r="D1100" s="49"/>
      <c r="E1100" s="50"/>
      <c r="F1100" s="51"/>
      <c r="G1100" s="49"/>
      <c r="H1100" s="49"/>
      <c r="I1100" s="49"/>
      <c r="J1100" s="49"/>
      <c r="K1100" s="49"/>
      <c r="L1100" s="49"/>
      <c r="M1100" s="49"/>
      <c r="N1100" s="49"/>
      <c r="O1100" s="49"/>
      <c r="P1100" s="49"/>
      <c r="Q1100" s="49"/>
      <c r="R1100" s="49"/>
      <c r="S1100" s="49"/>
    </row>
    <row r="1101" ht="13.5" customHeight="1" spans="1:19">
      <c r="A1101" s="49"/>
      <c r="C1101" s="49"/>
      <c r="D1101" s="49"/>
      <c r="E1101" s="50"/>
      <c r="F1101" s="51"/>
      <c r="G1101" s="49"/>
      <c r="H1101" s="49"/>
      <c r="I1101" s="49"/>
      <c r="J1101" s="49"/>
      <c r="K1101" s="49"/>
      <c r="L1101" s="49"/>
      <c r="M1101" s="49"/>
      <c r="N1101" s="49"/>
      <c r="O1101" s="49"/>
      <c r="P1101" s="49"/>
      <c r="Q1101" s="49"/>
      <c r="R1101" s="49"/>
      <c r="S1101" s="49"/>
    </row>
    <row r="1102" ht="13.5" customHeight="1" spans="1:19">
      <c r="A1102" s="49"/>
      <c r="C1102" s="49"/>
      <c r="D1102" s="49"/>
      <c r="E1102" s="50"/>
      <c r="F1102" s="51"/>
      <c r="G1102" s="49"/>
      <c r="H1102" s="49"/>
      <c r="I1102" s="49"/>
      <c r="J1102" s="49"/>
      <c r="K1102" s="49"/>
      <c r="L1102" s="49"/>
      <c r="M1102" s="49"/>
      <c r="N1102" s="49"/>
      <c r="O1102" s="49"/>
      <c r="P1102" s="49"/>
      <c r="Q1102" s="49"/>
      <c r="R1102" s="49"/>
      <c r="S1102" s="49"/>
    </row>
    <row r="1103" ht="13.5" customHeight="1" spans="1:19">
      <c r="A1103" s="49"/>
      <c r="C1103" s="49"/>
      <c r="D1103" s="49"/>
      <c r="E1103" s="50"/>
      <c r="F1103" s="51"/>
      <c r="G1103" s="49"/>
      <c r="H1103" s="49"/>
      <c r="I1103" s="49"/>
      <c r="J1103" s="49"/>
      <c r="K1103" s="49"/>
      <c r="L1103" s="49"/>
      <c r="M1103" s="49"/>
      <c r="N1103" s="49"/>
      <c r="O1103" s="49"/>
      <c r="P1103" s="49"/>
      <c r="Q1103" s="49"/>
      <c r="R1103" s="49"/>
      <c r="S1103" s="49"/>
    </row>
    <row r="1104" ht="13.5" customHeight="1" spans="1:19">
      <c r="A1104" s="49"/>
      <c r="C1104" s="49"/>
      <c r="D1104" s="49"/>
      <c r="E1104" s="50"/>
      <c r="F1104" s="51"/>
      <c r="G1104" s="49"/>
      <c r="H1104" s="49"/>
      <c r="I1104" s="49"/>
      <c r="J1104" s="49"/>
      <c r="K1104" s="49"/>
      <c r="L1104" s="49"/>
      <c r="M1104" s="49"/>
      <c r="N1104" s="49"/>
      <c r="O1104" s="49"/>
      <c r="P1104" s="49"/>
      <c r="Q1104" s="49"/>
      <c r="R1104" s="49"/>
      <c r="S1104" s="49"/>
    </row>
    <row r="1105" ht="13.5" customHeight="1" spans="1:19">
      <c r="A1105" s="49"/>
      <c r="C1105" s="49"/>
      <c r="D1105" s="49"/>
      <c r="E1105" s="50"/>
      <c r="F1105" s="51"/>
      <c r="G1105" s="49"/>
      <c r="H1105" s="49"/>
      <c r="I1105" s="49"/>
      <c r="J1105" s="49"/>
      <c r="K1105" s="49"/>
      <c r="L1105" s="49"/>
      <c r="M1105" s="49"/>
      <c r="N1105" s="49"/>
      <c r="O1105" s="49"/>
      <c r="P1105" s="49"/>
      <c r="Q1105" s="49"/>
      <c r="R1105" s="49"/>
      <c r="S1105" s="49"/>
    </row>
    <row r="1106" ht="13.5" customHeight="1" spans="1:19">
      <c r="A1106" s="49"/>
      <c r="C1106" s="49"/>
      <c r="D1106" s="49"/>
      <c r="E1106" s="50"/>
      <c r="F1106" s="51"/>
      <c r="G1106" s="49"/>
      <c r="H1106" s="49"/>
      <c r="I1106" s="49"/>
      <c r="J1106" s="49"/>
      <c r="K1106" s="49"/>
      <c r="L1106" s="49"/>
      <c r="M1106" s="49"/>
      <c r="N1106" s="49"/>
      <c r="O1106" s="49"/>
      <c r="P1106" s="49"/>
      <c r="Q1106" s="49"/>
      <c r="R1106" s="49"/>
      <c r="S1106" s="49"/>
    </row>
    <row r="1107" ht="13.5" customHeight="1" spans="1:19">
      <c r="A1107" s="49"/>
      <c r="C1107" s="49"/>
      <c r="D1107" s="49"/>
      <c r="E1107" s="50"/>
      <c r="F1107" s="51"/>
      <c r="G1107" s="49"/>
      <c r="H1107" s="49"/>
      <c r="I1107" s="49"/>
      <c r="J1107" s="49"/>
      <c r="K1107" s="49"/>
      <c r="L1107" s="49"/>
      <c r="M1107" s="49"/>
      <c r="N1107" s="49"/>
      <c r="O1107" s="49"/>
      <c r="P1107" s="49"/>
      <c r="Q1107" s="49"/>
      <c r="R1107" s="49"/>
      <c r="S1107" s="49"/>
    </row>
    <row r="1108" ht="13.5" customHeight="1" spans="1:19">
      <c r="A1108" s="49"/>
      <c r="C1108" s="49"/>
      <c r="D1108" s="49"/>
      <c r="E1108" s="50"/>
      <c r="F1108" s="51"/>
      <c r="G1108" s="49"/>
      <c r="H1108" s="49"/>
      <c r="I1108" s="49"/>
      <c r="J1108" s="49"/>
      <c r="K1108" s="49"/>
      <c r="L1108" s="49"/>
      <c r="M1108" s="49"/>
      <c r="N1108" s="49"/>
      <c r="O1108" s="49"/>
      <c r="P1108" s="49"/>
      <c r="Q1108" s="49"/>
      <c r="R1108" s="49"/>
      <c r="S1108" s="49"/>
    </row>
    <row r="1109" ht="13.5" customHeight="1" spans="1:19">
      <c r="A1109" s="49"/>
      <c r="C1109" s="49"/>
      <c r="D1109" s="49"/>
      <c r="E1109" s="50"/>
      <c r="F1109" s="51"/>
      <c r="G1109" s="49"/>
      <c r="H1109" s="49"/>
      <c r="I1109" s="49"/>
      <c r="J1109" s="49"/>
      <c r="K1109" s="49"/>
      <c r="L1109" s="49"/>
      <c r="M1109" s="49"/>
      <c r="N1109" s="49"/>
      <c r="O1109" s="49"/>
      <c r="P1109" s="49"/>
      <c r="Q1109" s="49"/>
      <c r="R1109" s="49"/>
      <c r="S1109" s="49"/>
    </row>
    <row r="1110" ht="13.5" customHeight="1" spans="1:19">
      <c r="A1110" s="49"/>
      <c r="C1110" s="49"/>
      <c r="D1110" s="49"/>
      <c r="E1110" s="50"/>
      <c r="F1110" s="51"/>
      <c r="G1110" s="49"/>
      <c r="H1110" s="49"/>
      <c r="I1110" s="49"/>
      <c r="J1110" s="49"/>
      <c r="K1110" s="49"/>
      <c r="L1110" s="49"/>
      <c r="M1110" s="49"/>
      <c r="N1110" s="49"/>
      <c r="O1110" s="49"/>
      <c r="P1110" s="49"/>
      <c r="Q1110" s="49"/>
      <c r="R1110" s="49"/>
      <c r="S1110" s="49"/>
    </row>
    <row r="1111" ht="13.5" customHeight="1" spans="1:19">
      <c r="A1111" s="49"/>
      <c r="C1111" s="49"/>
      <c r="D1111" s="49"/>
      <c r="E1111" s="50"/>
      <c r="F1111" s="51"/>
      <c r="G1111" s="49"/>
      <c r="H1111" s="49"/>
      <c r="I1111" s="49"/>
      <c r="J1111" s="49"/>
      <c r="K1111" s="49"/>
      <c r="L1111" s="49"/>
      <c r="M1111" s="49"/>
      <c r="N1111" s="49"/>
      <c r="O1111" s="49"/>
      <c r="P1111" s="49"/>
      <c r="Q1111" s="49"/>
      <c r="R1111" s="49"/>
      <c r="S1111" s="49"/>
    </row>
    <row r="1112" ht="13.5" customHeight="1" spans="1:19">
      <c r="A1112" s="49"/>
      <c r="C1112" s="49"/>
      <c r="D1112" s="49"/>
      <c r="E1112" s="50"/>
      <c r="F1112" s="51"/>
      <c r="G1112" s="49"/>
      <c r="H1112" s="49"/>
      <c r="I1112" s="49"/>
      <c r="J1112" s="49"/>
      <c r="K1112" s="49"/>
      <c r="L1112" s="49"/>
      <c r="M1112" s="49"/>
      <c r="N1112" s="49"/>
      <c r="O1112" s="49"/>
      <c r="P1112" s="49"/>
      <c r="Q1112" s="49"/>
      <c r="R1112" s="49"/>
      <c r="S1112" s="49"/>
    </row>
    <row r="1113" ht="13.5" customHeight="1" spans="1:19">
      <c r="A1113" s="49"/>
      <c r="C1113" s="49"/>
      <c r="D1113" s="49"/>
      <c r="E1113" s="50"/>
      <c r="F1113" s="51"/>
      <c r="G1113" s="49"/>
      <c r="H1113" s="49"/>
      <c r="I1113" s="49"/>
      <c r="J1113" s="49"/>
      <c r="K1113" s="49"/>
      <c r="L1113" s="49"/>
      <c r="M1113" s="49"/>
      <c r="N1113" s="49"/>
      <c r="O1113" s="49"/>
      <c r="P1113" s="49"/>
      <c r="Q1113" s="49"/>
      <c r="R1113" s="49"/>
      <c r="S1113" s="49"/>
    </row>
    <row r="1114" ht="13.5" customHeight="1" spans="1:19">
      <c r="A1114" s="49"/>
      <c r="C1114" s="49"/>
      <c r="D1114" s="49"/>
      <c r="E1114" s="50"/>
      <c r="F1114" s="51"/>
      <c r="G1114" s="49"/>
      <c r="H1114" s="49"/>
      <c r="I1114" s="49"/>
      <c r="J1114" s="49"/>
      <c r="K1114" s="49"/>
      <c r="L1114" s="49"/>
      <c r="M1114" s="49"/>
      <c r="N1114" s="49"/>
      <c r="O1114" s="49"/>
      <c r="P1114" s="49"/>
      <c r="Q1114" s="49"/>
      <c r="R1114" s="49"/>
      <c r="S1114" s="49"/>
    </row>
    <row r="1115" ht="13.5" customHeight="1" spans="1:19">
      <c r="A1115" s="49"/>
      <c r="C1115" s="49"/>
      <c r="D1115" s="49"/>
      <c r="E1115" s="50"/>
      <c r="F1115" s="51"/>
      <c r="G1115" s="49"/>
      <c r="H1115" s="49"/>
      <c r="I1115" s="49"/>
      <c r="J1115" s="49"/>
      <c r="K1115" s="49"/>
      <c r="L1115" s="49"/>
      <c r="M1115" s="49"/>
      <c r="N1115" s="49"/>
      <c r="O1115" s="49"/>
      <c r="P1115" s="49"/>
      <c r="Q1115" s="49"/>
      <c r="R1115" s="49"/>
      <c r="S1115" s="49"/>
    </row>
    <row r="1116" ht="13.5" customHeight="1" spans="1:19">
      <c r="A1116" s="49"/>
      <c r="C1116" s="49"/>
      <c r="D1116" s="49"/>
      <c r="E1116" s="50"/>
      <c r="F1116" s="51"/>
      <c r="G1116" s="49"/>
      <c r="H1116" s="49"/>
      <c r="I1116" s="49"/>
      <c r="J1116" s="49"/>
      <c r="K1116" s="49"/>
      <c r="L1116" s="49"/>
      <c r="M1116" s="49"/>
      <c r="N1116" s="49"/>
      <c r="O1116" s="49"/>
      <c r="P1116" s="49"/>
      <c r="Q1116" s="49"/>
      <c r="R1116" s="49"/>
      <c r="S1116" s="49"/>
    </row>
    <row r="1117" ht="13.5" customHeight="1" spans="1:19">
      <c r="A1117" s="49"/>
      <c r="C1117" s="49"/>
      <c r="D1117" s="49"/>
      <c r="E1117" s="50"/>
      <c r="F1117" s="51"/>
      <c r="G1117" s="49"/>
      <c r="H1117" s="49"/>
      <c r="I1117" s="49"/>
      <c r="J1117" s="49"/>
      <c r="K1117" s="49"/>
      <c r="L1117" s="49"/>
      <c r="M1117" s="49"/>
      <c r="N1117" s="49"/>
      <c r="O1117" s="49"/>
      <c r="P1117" s="49"/>
      <c r="Q1117" s="49"/>
      <c r="R1117" s="49"/>
      <c r="S1117" s="49"/>
    </row>
    <row r="1118" ht="13.5" customHeight="1" spans="1:19">
      <c r="A1118" s="49"/>
      <c r="C1118" s="49"/>
      <c r="D1118" s="49"/>
      <c r="E1118" s="50"/>
      <c r="F1118" s="51"/>
      <c r="G1118" s="49"/>
      <c r="H1118" s="49"/>
      <c r="I1118" s="49"/>
      <c r="J1118" s="49"/>
      <c r="K1118" s="49"/>
      <c r="L1118" s="49"/>
      <c r="M1118" s="49"/>
      <c r="N1118" s="49"/>
      <c r="O1118" s="49"/>
      <c r="P1118" s="49"/>
      <c r="Q1118" s="49"/>
      <c r="R1118" s="49"/>
      <c r="S1118" s="49"/>
    </row>
    <row r="1119" ht="13.5" customHeight="1" spans="1:19">
      <c r="A1119" s="49"/>
      <c r="C1119" s="49"/>
      <c r="D1119" s="49"/>
      <c r="E1119" s="50"/>
      <c r="F1119" s="51"/>
      <c r="G1119" s="49"/>
      <c r="H1119" s="49"/>
      <c r="I1119" s="49"/>
      <c r="J1119" s="49"/>
      <c r="K1119" s="49"/>
      <c r="L1119" s="49"/>
      <c r="M1119" s="49"/>
      <c r="N1119" s="49"/>
      <c r="O1119" s="49"/>
      <c r="P1119" s="49"/>
      <c r="Q1119" s="49"/>
      <c r="R1119" s="49"/>
      <c r="S1119" s="49"/>
    </row>
    <row r="1120" ht="13.5" customHeight="1" spans="1:19">
      <c r="A1120" s="49"/>
      <c r="C1120" s="49"/>
      <c r="D1120" s="49"/>
      <c r="E1120" s="50"/>
      <c r="F1120" s="51"/>
      <c r="G1120" s="49"/>
      <c r="H1120" s="49"/>
      <c r="I1120" s="49"/>
      <c r="J1120" s="49"/>
      <c r="K1120" s="49"/>
      <c r="L1120" s="49"/>
      <c r="M1120" s="49"/>
      <c r="N1120" s="49"/>
      <c r="O1120" s="49"/>
      <c r="P1120" s="49"/>
      <c r="Q1120" s="49"/>
      <c r="R1120" s="49"/>
      <c r="S1120" s="49"/>
    </row>
    <row r="1121" ht="13.5" customHeight="1" spans="1:19">
      <c r="A1121" s="49"/>
      <c r="C1121" s="49"/>
      <c r="D1121" s="49"/>
      <c r="E1121" s="50"/>
      <c r="F1121" s="51"/>
      <c r="G1121" s="49"/>
      <c r="H1121" s="49"/>
      <c r="I1121" s="49"/>
      <c r="J1121" s="49"/>
      <c r="K1121" s="49"/>
      <c r="L1121" s="49"/>
      <c r="M1121" s="49"/>
      <c r="N1121" s="49"/>
      <c r="O1121" s="49"/>
      <c r="P1121" s="49"/>
      <c r="Q1121" s="49"/>
      <c r="R1121" s="49"/>
      <c r="S1121" s="49"/>
    </row>
    <row r="1122" ht="13.5" customHeight="1" spans="1:19">
      <c r="A1122" s="49"/>
      <c r="C1122" s="49"/>
      <c r="D1122" s="49"/>
      <c r="E1122" s="50"/>
      <c r="F1122" s="51"/>
      <c r="G1122" s="49"/>
      <c r="H1122" s="49"/>
      <c r="I1122" s="49"/>
      <c r="J1122" s="49"/>
      <c r="K1122" s="49"/>
      <c r="L1122" s="49"/>
      <c r="M1122" s="49"/>
      <c r="N1122" s="49"/>
      <c r="O1122" s="49"/>
      <c r="P1122" s="49"/>
      <c r="Q1122" s="49"/>
      <c r="R1122" s="49"/>
      <c r="S1122" s="49"/>
    </row>
    <row r="1123" ht="13.5" customHeight="1" spans="1:19">
      <c r="A1123" s="49"/>
      <c r="C1123" s="49"/>
      <c r="D1123" s="49"/>
      <c r="E1123" s="50"/>
      <c r="F1123" s="51"/>
      <c r="G1123" s="49"/>
      <c r="H1123" s="49"/>
      <c r="I1123" s="49"/>
      <c r="J1123" s="49"/>
      <c r="K1123" s="49"/>
      <c r="L1123" s="49"/>
      <c r="M1123" s="49"/>
      <c r="N1123" s="49"/>
      <c r="O1123" s="49"/>
      <c r="P1123" s="49"/>
      <c r="Q1123" s="49"/>
      <c r="R1123" s="49"/>
      <c r="S1123" s="49"/>
    </row>
    <row r="1124" ht="13.5" customHeight="1" spans="1:19">
      <c r="A1124" s="49"/>
      <c r="C1124" s="49"/>
      <c r="D1124" s="49"/>
      <c r="E1124" s="50"/>
      <c r="F1124" s="51"/>
      <c r="G1124" s="49"/>
      <c r="H1124" s="49"/>
      <c r="I1124" s="49"/>
      <c r="J1124" s="49"/>
      <c r="K1124" s="49"/>
      <c r="L1124" s="49"/>
      <c r="M1124" s="49"/>
      <c r="N1124" s="49"/>
      <c r="O1124" s="49"/>
      <c r="P1124" s="49"/>
      <c r="Q1124" s="49"/>
      <c r="R1124" s="49"/>
      <c r="S1124" s="49"/>
    </row>
    <row r="1125" ht="13.5" customHeight="1" spans="1:19">
      <c r="A1125" s="49"/>
      <c r="C1125" s="49"/>
      <c r="D1125" s="49"/>
      <c r="E1125" s="50"/>
      <c r="F1125" s="51"/>
      <c r="G1125" s="49"/>
      <c r="H1125" s="49"/>
      <c r="I1125" s="49"/>
      <c r="J1125" s="49"/>
      <c r="K1125" s="49"/>
      <c r="L1125" s="49"/>
      <c r="M1125" s="49"/>
      <c r="N1125" s="49"/>
      <c r="O1125" s="49"/>
      <c r="P1125" s="49"/>
      <c r="Q1125" s="49"/>
      <c r="R1125" s="49"/>
      <c r="S1125" s="49"/>
    </row>
    <row r="1126" ht="13.5" customHeight="1" spans="1:19">
      <c r="A1126" s="49"/>
      <c r="C1126" s="49"/>
      <c r="D1126" s="49"/>
      <c r="E1126" s="50"/>
      <c r="F1126" s="51"/>
      <c r="G1126" s="49"/>
      <c r="H1126" s="49"/>
      <c r="I1126" s="49"/>
      <c r="J1126" s="49"/>
      <c r="K1126" s="49"/>
      <c r="L1126" s="49"/>
      <c r="M1126" s="49"/>
      <c r="N1126" s="49"/>
      <c r="O1126" s="49"/>
      <c r="P1126" s="49"/>
      <c r="Q1126" s="49"/>
      <c r="R1126" s="49"/>
      <c r="S1126" s="49"/>
    </row>
    <row r="1127" ht="13.5" customHeight="1" spans="1:19">
      <c r="A1127" s="49"/>
      <c r="C1127" s="49"/>
      <c r="D1127" s="49"/>
      <c r="E1127" s="50"/>
      <c r="F1127" s="51"/>
      <c r="G1127" s="49"/>
      <c r="H1127" s="49"/>
      <c r="I1127" s="49"/>
      <c r="J1127" s="49"/>
      <c r="K1127" s="49"/>
      <c r="L1127" s="49"/>
      <c r="M1127" s="49"/>
      <c r="N1127" s="49"/>
      <c r="O1127" s="49"/>
      <c r="P1127" s="49"/>
      <c r="Q1127" s="49"/>
      <c r="R1127" s="49"/>
      <c r="S1127" s="49"/>
    </row>
    <row r="1128" ht="13.5" customHeight="1" spans="1:19">
      <c r="A1128" s="49"/>
      <c r="C1128" s="49"/>
      <c r="D1128" s="49"/>
      <c r="E1128" s="50"/>
      <c r="F1128" s="51"/>
      <c r="G1128" s="49"/>
      <c r="H1128" s="49"/>
      <c r="I1128" s="49"/>
      <c r="J1128" s="49"/>
      <c r="K1128" s="49"/>
      <c r="L1128" s="49"/>
      <c r="M1128" s="49"/>
      <c r="N1128" s="49"/>
      <c r="O1128" s="49"/>
      <c r="P1128" s="49"/>
      <c r="Q1128" s="49"/>
      <c r="R1128" s="49"/>
      <c r="S1128" s="4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Grizli777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Chennai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2026-03-16T12:33:00Z</dcterms:created>
  <dcterms:modified xsi:type="dcterms:W3CDTF">2026-06-16T05:05:42Z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751FF8333CAE4881B8646BD2E825BF08_12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